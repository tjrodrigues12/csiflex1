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11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2.xml" ContentType="application/vnd.openxmlformats-officedocument.drawing+xml"/>
  <Override PartName="/xl/charts/chart33.xml" ContentType="application/vnd.openxmlformats-officedocument.drawingml.chart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almi\Desktop\"/>
    </mc:Choice>
  </mc:AlternateContent>
  <bookViews>
    <workbookView xWindow="7095" yWindow="-45" windowWidth="13125" windowHeight="12675" tabRatio="873"/>
  </bookViews>
  <sheets>
    <sheet name="Monitoring" sheetId="32" r:id="rId1"/>
    <sheet name="setup" sheetId="33" r:id="rId2"/>
    <sheet name="Daily - CNC-01 " sheetId="4" r:id="rId3"/>
    <sheet name="Daily - CNC-02" sheetId="28" r:id="rId4"/>
    <sheet name="Daily - CNC-03" sheetId="29" r:id="rId5"/>
    <sheet name="Daily - AUTOCLAVE" sheetId="30" r:id="rId6"/>
    <sheet name="Daily - OVEN 101" sheetId="31" r:id="rId7"/>
    <sheet name="Daily - HCN" sheetId="14" state="hidden" r:id="rId8"/>
    <sheet name="Daily - NCT" sheetId="15" state="hidden" r:id="rId9"/>
    <sheet name="Daily - All" sheetId="17" r:id="rId10"/>
    <sheet name="Asset 1 Trend" sheetId="22" r:id="rId11"/>
    <sheet name="Trend - Mazat 1" sheetId="21" state="hidden" r:id="rId12"/>
    <sheet name="Efficiency" sheetId="25" r:id="rId13"/>
    <sheet name="Efficiency - ASSET 1 - Shift 1" sheetId="27" r:id="rId14"/>
    <sheet name="Sheet1" sheetId="34" r:id="rId15"/>
  </sheets>
  <definedNames>
    <definedName name="lol" localSheetId="9">#REF!</definedName>
    <definedName name="lol" localSheetId="5">#REF!</definedName>
    <definedName name="lol" localSheetId="3">#REF!</definedName>
    <definedName name="lol" localSheetId="4">#REF!</definedName>
    <definedName name="lol" localSheetId="7">#REF!</definedName>
    <definedName name="lol" localSheetId="8">#REF!</definedName>
    <definedName name="lol" localSheetId="6">#REF!</definedName>
    <definedName name="lol" localSheetId="12">#REF!</definedName>
    <definedName name="lol" localSheetId="13">#REF!</definedName>
    <definedName name="lol" localSheetId="11">#REF!</definedName>
    <definedName name="lol">#REF!</definedName>
    <definedName name="_xlnm.Print_Area" localSheetId="9">'Daily - All'!$J$1:$R$42</definedName>
    <definedName name="_xlnm.Print_Area" localSheetId="5">'Daily - AUTOCLAVE'!$A$1:$I$50</definedName>
    <definedName name="_xlnm.Print_Area" localSheetId="2">'Daily - CNC-01 '!$A$1:$I$50</definedName>
    <definedName name="_xlnm.Print_Area" localSheetId="3">'Daily - CNC-02'!$A$1:$I$50</definedName>
    <definedName name="_xlnm.Print_Area" localSheetId="4">'Daily - CNC-03'!$A$1:$I$50</definedName>
    <definedName name="_xlnm.Print_Area" localSheetId="6">'Daily - OVEN 101'!$A$1:$I$50</definedName>
    <definedName name="_xlnm.Print_Titles" localSheetId="5">'Daily - AUTOCLAVE'!$1:$1</definedName>
    <definedName name="_xlnm.Print_Titles" localSheetId="2">'Daily - CNC-01 '!$1:$1</definedName>
    <definedName name="_xlnm.Print_Titles" localSheetId="3">'Daily - CNC-02'!$1:$1</definedName>
    <definedName name="_xlnm.Print_Titles" localSheetId="4">'Daily - CNC-03'!$1:$1</definedName>
    <definedName name="_xlnm.Print_Titles" localSheetId="6">'Daily - OVEN 101'!$1:$1</definedName>
  </definedNames>
  <calcPr calcId="152511"/>
</workbook>
</file>

<file path=xl/calcChain.xml><?xml version="1.0" encoding="utf-8"?>
<calcChain xmlns="http://schemas.openxmlformats.org/spreadsheetml/2006/main">
  <c r="D36" i="17" l="1"/>
  <c r="D37" i="17"/>
  <c r="D38" i="17"/>
  <c r="D39" i="17"/>
  <c r="D40" i="17"/>
  <c r="D34" i="17"/>
  <c r="D43" i="17" s="1"/>
  <c r="D22" i="17"/>
  <c r="D23" i="17"/>
  <c r="D28" i="17" s="1"/>
  <c r="D24" i="17"/>
  <c r="D25" i="17"/>
  <c r="D26" i="17"/>
  <c r="H24" i="17"/>
  <c r="H25" i="17"/>
  <c r="H26" i="17"/>
  <c r="H23" i="17"/>
  <c r="H22" i="17"/>
  <c r="H28" i="17"/>
  <c r="H20" i="17"/>
  <c r="H31" i="17"/>
  <c r="H29" i="17"/>
  <c r="E36" i="31"/>
  <c r="E42" i="31" s="1"/>
  <c r="D42" i="31" s="1"/>
  <c r="E22" i="31"/>
  <c r="D22" i="31" s="1"/>
  <c r="D31" i="31" s="1"/>
  <c r="E8" i="31"/>
  <c r="D8" i="31" s="1"/>
  <c r="D17" i="31" s="1"/>
  <c r="E36" i="30"/>
  <c r="E22" i="30"/>
  <c r="E28" i="30" s="1"/>
  <c r="D28" i="30" s="1"/>
  <c r="E8" i="30"/>
  <c r="E14" i="30" s="1"/>
  <c r="D46" i="31"/>
  <c r="B46" i="31"/>
  <c r="D41" i="31"/>
  <c r="D40" i="31"/>
  <c r="D39" i="31"/>
  <c r="D38" i="31"/>
  <c r="D35" i="31"/>
  <c r="D44" i="31" s="1"/>
  <c r="B32" i="31"/>
  <c r="E28" i="31"/>
  <c r="D28" i="31" s="1"/>
  <c r="D27" i="31"/>
  <c r="D26" i="31"/>
  <c r="D25" i="31"/>
  <c r="D24" i="31"/>
  <c r="D23" i="31"/>
  <c r="D32" i="31" s="1"/>
  <c r="D21" i="31"/>
  <c r="D30" i="31" s="1"/>
  <c r="B18" i="31"/>
  <c r="A17" i="31"/>
  <c r="A16" i="31"/>
  <c r="D13" i="31"/>
  <c r="D12" i="31"/>
  <c r="D11" i="31"/>
  <c r="D10" i="31"/>
  <c r="D9" i="31"/>
  <c r="D18" i="31" s="1"/>
  <c r="D7" i="31"/>
  <c r="D16" i="31" s="1"/>
  <c r="D46" i="30"/>
  <c r="B46" i="30"/>
  <c r="D41" i="30"/>
  <c r="D40" i="30"/>
  <c r="D39" i="30"/>
  <c r="D38" i="30"/>
  <c r="D36" i="30"/>
  <c r="D45" i="30" s="1"/>
  <c r="D35" i="30"/>
  <c r="D44" i="30" s="1"/>
  <c r="B32" i="30"/>
  <c r="D27" i="30"/>
  <c r="D26" i="30"/>
  <c r="D25" i="30"/>
  <c r="D24" i="30"/>
  <c r="D23" i="30"/>
  <c r="D32" i="30" s="1"/>
  <c r="D21" i="30"/>
  <c r="D30" i="30" s="1"/>
  <c r="B18" i="30"/>
  <c r="A17" i="30"/>
  <c r="A16" i="30"/>
  <c r="D13" i="30"/>
  <c r="D12" i="30"/>
  <c r="D11" i="30"/>
  <c r="D15" i="30" s="1"/>
  <c r="D10" i="30"/>
  <c r="D9" i="30"/>
  <c r="D18" i="30" s="1"/>
  <c r="D7" i="30"/>
  <c r="D16" i="30" s="1"/>
  <c r="H8" i="17"/>
  <c r="H17" i="17" s="1"/>
  <c r="H7" i="17"/>
  <c r="H16" i="17" s="1"/>
  <c r="H6" i="17"/>
  <c r="H15" i="17" s="1"/>
  <c r="D31" i="17"/>
  <c r="D20" i="17"/>
  <c r="D29" i="17"/>
  <c r="H9" i="17"/>
  <c r="H14" i="17" s="1"/>
  <c r="H10" i="17"/>
  <c r="H11" i="17"/>
  <c r="H12" i="17"/>
  <c r="E36" i="4"/>
  <c r="E36" i="29"/>
  <c r="D36" i="29" s="1"/>
  <c r="D45" i="29" s="1"/>
  <c r="D41" i="29"/>
  <c r="D40" i="29"/>
  <c r="D39" i="29"/>
  <c r="D38" i="29"/>
  <c r="D35" i="29"/>
  <c r="D44" i="29" s="1"/>
  <c r="D46" i="29"/>
  <c r="D27" i="29"/>
  <c r="D26" i="29"/>
  <c r="D25" i="29"/>
  <c r="D24" i="29"/>
  <c r="D23" i="29"/>
  <c r="D32" i="29" s="1"/>
  <c r="D22" i="29"/>
  <c r="D21" i="29"/>
  <c r="D13" i="29"/>
  <c r="D12" i="29"/>
  <c r="D11" i="29"/>
  <c r="D10" i="29"/>
  <c r="D15" i="29" s="1"/>
  <c r="D9" i="29"/>
  <c r="D18" i="29" s="1"/>
  <c r="D8" i="29"/>
  <c r="D17" i="29" s="1"/>
  <c r="D7" i="29"/>
  <c r="D16" i="29" s="1"/>
  <c r="B46" i="29"/>
  <c r="B32" i="29"/>
  <c r="E28" i="29"/>
  <c r="D28" i="29" s="1"/>
  <c r="D29" i="29"/>
  <c r="D31" i="29"/>
  <c r="D30" i="29"/>
  <c r="B18" i="29"/>
  <c r="A17" i="29"/>
  <c r="A16" i="29"/>
  <c r="C11" i="25" s="1"/>
  <c r="E14" i="29"/>
  <c r="D14" i="29" s="1"/>
  <c r="D41" i="28"/>
  <c r="D40" i="28"/>
  <c r="D39" i="28"/>
  <c r="D38" i="28"/>
  <c r="D43" i="28" s="1"/>
  <c r="D37" i="28"/>
  <c r="D36" i="28"/>
  <c r="D45" i="28" s="1"/>
  <c r="D35" i="28"/>
  <c r="D27" i="28"/>
  <c r="D26" i="28"/>
  <c r="D25" i="28"/>
  <c r="D24" i="28"/>
  <c r="D23" i="28"/>
  <c r="D22" i="28"/>
  <c r="D31" i="28" s="1"/>
  <c r="D21" i="28"/>
  <c r="D13" i="28"/>
  <c r="D12" i="28"/>
  <c r="D11" i="28"/>
  <c r="D10" i="28"/>
  <c r="D9" i="28"/>
  <c r="D8" i="28"/>
  <c r="D7" i="28"/>
  <c r="A15" i="28" s="1"/>
  <c r="D46" i="28"/>
  <c r="B46" i="28"/>
  <c r="E42" i="28"/>
  <c r="D42" i="28"/>
  <c r="D44" i="28"/>
  <c r="D32" i="28"/>
  <c r="B32" i="28"/>
  <c r="E28" i="28"/>
  <c r="D28" i="28" s="1"/>
  <c r="D30" i="28"/>
  <c r="B18" i="28"/>
  <c r="A17" i="28"/>
  <c r="D16" i="28"/>
  <c r="A16" i="28"/>
  <c r="C10" i="25" s="1"/>
  <c r="E14" i="28"/>
  <c r="D14" i="28" s="1"/>
  <c r="D15" i="28"/>
  <c r="D18" i="28"/>
  <c r="D17" i="28"/>
  <c r="D7" i="4"/>
  <c r="D36" i="4"/>
  <c r="D39" i="4"/>
  <c r="A16" i="4"/>
  <c r="A17" i="4"/>
  <c r="B18" i="4"/>
  <c r="D29" i="28" l="1"/>
  <c r="D15" i="31"/>
  <c r="D43" i="29"/>
  <c r="H21" i="17"/>
  <c r="H30" i="17" s="1"/>
  <c r="D21" i="17"/>
  <c r="D30" i="17" s="1"/>
  <c r="D42" i="17"/>
  <c r="D35" i="17"/>
  <c r="D44" i="17" s="1"/>
  <c r="D36" i="31"/>
  <c r="D45" i="31" s="1"/>
  <c r="D43" i="31"/>
  <c r="D29" i="31"/>
  <c r="E14" i="31"/>
  <c r="D14" i="31" s="1"/>
  <c r="D43" i="30"/>
  <c r="D29" i="30"/>
  <c r="D22" i="30"/>
  <c r="D31" i="30" s="1"/>
  <c r="A15" i="31"/>
  <c r="E42" i="30"/>
  <c r="D42" i="30" s="1"/>
  <c r="A15" i="30"/>
  <c r="H13" i="17"/>
  <c r="E42" i="29"/>
  <c r="D42" i="29" s="1"/>
  <c r="A15" i="29"/>
  <c r="J41" i="27"/>
  <c r="J28" i="27"/>
  <c r="D9" i="4"/>
  <c r="D23" i="4"/>
  <c r="J15" i="27"/>
  <c r="D18" i="4" l="1"/>
  <c r="D8" i="17"/>
  <c r="D17" i="17" s="1"/>
  <c r="D41" i="17"/>
  <c r="H27" i="17"/>
  <c r="D27" i="17"/>
  <c r="A16" i="15"/>
  <c r="A15" i="15"/>
  <c r="C13" i="25" s="1"/>
  <c r="I13" i="25" s="1"/>
  <c r="A16" i="14"/>
  <c r="A15" i="14"/>
  <c r="C12" i="25" s="1"/>
  <c r="I12" i="25" s="1"/>
  <c r="I11" i="25"/>
  <c r="I10" i="25"/>
  <c r="C9" i="25"/>
  <c r="I9" i="25" s="1"/>
  <c r="B45" i="15" l="1"/>
  <c r="B31" i="15"/>
  <c r="B17" i="15"/>
  <c r="B45" i="14"/>
  <c r="B31" i="14"/>
  <c r="B17" i="14"/>
  <c r="B46" i="4"/>
  <c r="D46" i="4"/>
  <c r="B32" i="4"/>
  <c r="D32" i="4"/>
  <c r="H133" i="21"/>
  <c r="H43" i="21"/>
  <c r="H23" i="21"/>
  <c r="H25" i="21"/>
  <c r="H155" i="21"/>
  <c r="H5" i="21"/>
  <c r="H6" i="21"/>
  <c r="H7" i="21"/>
  <c r="H8" i="21"/>
  <c r="H4" i="21"/>
  <c r="G153" i="21"/>
  <c r="G152" i="21" s="1"/>
  <c r="G151" i="21" s="1"/>
  <c r="G150" i="21" s="1"/>
  <c r="G149" i="21" s="1"/>
  <c r="G148" i="21" s="1"/>
  <c r="G147" i="21" s="1"/>
  <c r="G146" i="21" s="1"/>
  <c r="G145" i="21" s="1"/>
  <c r="G144" i="21" s="1"/>
  <c r="G143" i="21" s="1"/>
  <c r="G142" i="21" s="1"/>
  <c r="G141" i="21" s="1"/>
  <c r="G140" i="21" s="1"/>
  <c r="G139" i="21" s="1"/>
  <c r="G138" i="21" s="1"/>
  <c r="G154" i="21"/>
  <c r="H154" i="21" s="1"/>
  <c r="E155" i="21"/>
  <c r="D154" i="21"/>
  <c r="D153" i="21" s="1"/>
  <c r="D152" i="21" s="1"/>
  <c r="D151" i="21" s="1"/>
  <c r="D150" i="21" s="1"/>
  <c r="D149" i="21" s="1"/>
  <c r="D148" i="21" s="1"/>
  <c r="D147" i="21" s="1"/>
  <c r="D146" i="21" s="1"/>
  <c r="D145" i="21" s="1"/>
  <c r="D144" i="21" s="1"/>
  <c r="D143" i="21" s="1"/>
  <c r="D142" i="21" s="1"/>
  <c r="D141" i="21" s="1"/>
  <c r="D140" i="21" s="1"/>
  <c r="D139" i="21" s="1"/>
  <c r="D138" i="21" s="1"/>
  <c r="D137" i="21" s="1"/>
  <c r="D136" i="21" s="1"/>
  <c r="D135" i="21" s="1"/>
  <c r="D134" i="21" s="1"/>
  <c r="D133" i="21" s="1"/>
  <c r="D132" i="21" s="1"/>
  <c r="D131" i="21" s="1"/>
  <c r="D130" i="21" s="1"/>
  <c r="D129" i="21" s="1"/>
  <c r="D128" i="21" s="1"/>
  <c r="D127" i="21" s="1"/>
  <c r="D126" i="21" s="1"/>
  <c r="D125" i="21" s="1"/>
  <c r="D124" i="21" s="1"/>
  <c r="D123" i="21" s="1"/>
  <c r="D122" i="21" s="1"/>
  <c r="D121" i="21" s="1"/>
  <c r="D120" i="21" s="1"/>
  <c r="D119" i="21" s="1"/>
  <c r="D118" i="21" s="1"/>
  <c r="D117" i="21" s="1"/>
  <c r="D116" i="21" s="1"/>
  <c r="D115" i="21" s="1"/>
  <c r="D114" i="21" s="1"/>
  <c r="D113" i="21" s="1"/>
  <c r="D112" i="21" s="1"/>
  <c r="D111" i="21" s="1"/>
  <c r="D110" i="21" s="1"/>
  <c r="D109" i="21" s="1"/>
  <c r="D108" i="21" s="1"/>
  <c r="D107" i="21" s="1"/>
  <c r="D106" i="21" s="1"/>
  <c r="D105" i="21" s="1"/>
  <c r="D104" i="21" s="1"/>
  <c r="D103" i="21" s="1"/>
  <c r="D102" i="21" s="1"/>
  <c r="D101" i="21" s="1"/>
  <c r="D100" i="21" s="1"/>
  <c r="D99" i="21" s="1"/>
  <c r="D98" i="21" s="1"/>
  <c r="D97" i="21" s="1"/>
  <c r="D96" i="21" s="1"/>
  <c r="D95" i="21" s="1"/>
  <c r="D94" i="21" s="1"/>
  <c r="D93" i="21" s="1"/>
  <c r="D92" i="21" s="1"/>
  <c r="D91" i="21" s="1"/>
  <c r="D90" i="21" s="1"/>
  <c r="D89" i="21" s="1"/>
  <c r="D88" i="21" s="1"/>
  <c r="D87" i="21" s="1"/>
  <c r="D86" i="21" s="1"/>
  <c r="D85" i="21" s="1"/>
  <c r="D84" i="21" s="1"/>
  <c r="D83" i="21" s="1"/>
  <c r="D82" i="21" s="1"/>
  <c r="D81" i="21" s="1"/>
  <c r="D80" i="21" s="1"/>
  <c r="D79" i="21" s="1"/>
  <c r="D78" i="21" s="1"/>
  <c r="D77" i="21" s="1"/>
  <c r="D76" i="21" s="1"/>
  <c r="D75" i="21" s="1"/>
  <c r="D74" i="21" s="1"/>
  <c r="D73" i="21" s="1"/>
  <c r="D72" i="21" s="1"/>
  <c r="D71" i="21" s="1"/>
  <c r="D70" i="21" s="1"/>
  <c r="D69" i="21" s="1"/>
  <c r="D68" i="21" s="1"/>
  <c r="D67" i="21" s="1"/>
  <c r="D66" i="21" s="1"/>
  <c r="D65" i="21" s="1"/>
  <c r="D64" i="21" s="1"/>
  <c r="D63" i="21" s="1"/>
  <c r="D62" i="21" s="1"/>
  <c r="D61" i="21" s="1"/>
  <c r="D60" i="21" s="1"/>
  <c r="D59" i="21" s="1"/>
  <c r="D58" i="21" s="1"/>
  <c r="D57" i="21" s="1"/>
  <c r="D56" i="21" s="1"/>
  <c r="D55" i="21" s="1"/>
  <c r="D54" i="21" s="1"/>
  <c r="D53" i="21" s="1"/>
  <c r="D52" i="21" s="1"/>
  <c r="D51" i="21" s="1"/>
  <c r="D50" i="21" s="1"/>
  <c r="D49" i="21" s="1"/>
  <c r="D48" i="21" s="1"/>
  <c r="D47" i="21" s="1"/>
  <c r="D46" i="21" s="1"/>
  <c r="D45" i="21" s="1"/>
  <c r="D44" i="21" s="1"/>
  <c r="D43" i="21" s="1"/>
  <c r="D42" i="21" s="1"/>
  <c r="D41" i="21" s="1"/>
  <c r="D40" i="21" s="1"/>
  <c r="D39" i="21" s="1"/>
  <c r="D38" i="21" s="1"/>
  <c r="D37" i="21" s="1"/>
  <c r="D36" i="21" s="1"/>
  <c r="D35" i="21" s="1"/>
  <c r="D34" i="21" s="1"/>
  <c r="D33" i="21" s="1"/>
  <c r="D32" i="21" s="1"/>
  <c r="D31" i="21" s="1"/>
  <c r="D30" i="21" s="1"/>
  <c r="D29" i="21" s="1"/>
  <c r="D28" i="21" s="1"/>
  <c r="D27" i="21" s="1"/>
  <c r="D26" i="21" s="1"/>
  <c r="D25" i="21" s="1"/>
  <c r="D24" i="21" s="1"/>
  <c r="D23" i="21" s="1"/>
  <c r="D22" i="21" s="1"/>
  <c r="D21" i="21" s="1"/>
  <c r="D20" i="21" s="1"/>
  <c r="D19" i="21" s="1"/>
  <c r="D18" i="21" s="1"/>
  <c r="D17" i="21" s="1"/>
  <c r="D16" i="21" s="1"/>
  <c r="D15" i="21" s="1"/>
  <c r="D14" i="21" s="1"/>
  <c r="D13" i="21" s="1"/>
  <c r="D12" i="21" s="1"/>
  <c r="D11" i="21" s="1"/>
  <c r="D10" i="21" s="1"/>
  <c r="D9" i="21" s="1"/>
  <c r="D8" i="21" s="1"/>
  <c r="D7" i="21" s="1"/>
  <c r="D6" i="21" s="1"/>
  <c r="D5" i="21" s="1"/>
  <c r="D4" i="21" s="1"/>
  <c r="E4" i="21" s="1"/>
  <c r="A5" i="2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55" i="21" s="1"/>
  <c r="B155" i="21"/>
  <c r="B154" i="21" s="1"/>
  <c r="B153" i="21" s="1"/>
  <c r="D41" i="14"/>
  <c r="D35" i="14"/>
  <c r="D36" i="14"/>
  <c r="D45" i="14" s="1"/>
  <c r="D37" i="14"/>
  <c r="D38" i="14"/>
  <c r="D39" i="14"/>
  <c r="D40" i="14"/>
  <c r="D34" i="14"/>
  <c r="D41" i="15"/>
  <c r="D35" i="15"/>
  <c r="D36" i="15"/>
  <c r="D45" i="15" s="1"/>
  <c r="D37" i="15"/>
  <c r="D38" i="15"/>
  <c r="D39" i="15"/>
  <c r="D40" i="15"/>
  <c r="D42" i="15" s="1"/>
  <c r="D34" i="15"/>
  <c r="D27" i="15"/>
  <c r="D21" i="15"/>
  <c r="D22" i="15"/>
  <c r="D31" i="15" s="1"/>
  <c r="D23" i="15"/>
  <c r="D24" i="15"/>
  <c r="D25" i="15"/>
  <c r="D26" i="15"/>
  <c r="D20" i="15"/>
  <c r="D13" i="15"/>
  <c r="D7" i="15"/>
  <c r="H35" i="17" s="1"/>
  <c r="H44" i="17" s="1"/>
  <c r="D8" i="15"/>
  <c r="D9" i="15"/>
  <c r="D10" i="15"/>
  <c r="H38" i="17" s="1"/>
  <c r="D11" i="15"/>
  <c r="H39" i="17" s="1"/>
  <c r="D12" i="15"/>
  <c r="H40" i="17" s="1"/>
  <c r="D6" i="15"/>
  <c r="D21" i="14"/>
  <c r="D22" i="14"/>
  <c r="D31" i="14" s="1"/>
  <c r="D23" i="14"/>
  <c r="D28" i="14" s="1"/>
  <c r="D24" i="14"/>
  <c r="D25" i="14"/>
  <c r="D26" i="14"/>
  <c r="D20" i="14"/>
  <c r="D27" i="14"/>
  <c r="D7" i="14"/>
  <c r="D8" i="14"/>
  <c r="D17" i="14" s="1"/>
  <c r="D9" i="14"/>
  <c r="D14" i="14" s="1"/>
  <c r="D10" i="14"/>
  <c r="D11" i="14"/>
  <c r="D12" i="14"/>
  <c r="D6" i="14"/>
  <c r="A14" i="14" s="1"/>
  <c r="D13" i="14"/>
  <c r="A14" i="15" l="1"/>
  <c r="H34" i="17"/>
  <c r="H43" i="17" s="1"/>
  <c r="D14" i="15"/>
  <c r="H37" i="17"/>
  <c r="H42" i="17" s="1"/>
  <c r="D42" i="14"/>
  <c r="E153" i="21"/>
  <c r="E151" i="21"/>
  <c r="E148" i="21"/>
  <c r="E145" i="21"/>
  <c r="E143" i="21"/>
  <c r="E140" i="21"/>
  <c r="E137" i="21"/>
  <c r="E135" i="21"/>
  <c r="E132" i="21"/>
  <c r="E128" i="21"/>
  <c r="E124" i="21"/>
  <c r="E120" i="21"/>
  <c r="E116" i="21"/>
  <c r="E112" i="21"/>
  <c r="E108" i="21"/>
  <c r="E104" i="21"/>
  <c r="E100" i="21"/>
  <c r="E96" i="21"/>
  <c r="E92" i="21"/>
  <c r="E88" i="21"/>
  <c r="E84" i="21"/>
  <c r="E80" i="21"/>
  <c r="E76" i="21"/>
  <c r="E72" i="21"/>
  <c r="E68" i="21"/>
  <c r="E64" i="21"/>
  <c r="E60" i="21"/>
  <c r="E56" i="21"/>
  <c r="E52" i="21"/>
  <c r="E48" i="21"/>
  <c r="E44" i="21"/>
  <c r="E40" i="21"/>
  <c r="E36" i="21"/>
  <c r="E32" i="21"/>
  <c r="E28" i="21"/>
  <c r="E24" i="21"/>
  <c r="E19" i="21"/>
  <c r="E15" i="21"/>
  <c r="E11" i="21"/>
  <c r="E7" i="21"/>
  <c r="H150" i="21"/>
  <c r="H142" i="21"/>
  <c r="D17" i="15"/>
  <c r="H36" i="17"/>
  <c r="D28" i="15"/>
  <c r="E154" i="21"/>
  <c r="E152" i="21"/>
  <c r="E150" i="21"/>
  <c r="E146" i="21"/>
  <c r="E144" i="21"/>
  <c r="E142" i="21"/>
  <c r="E138" i="21"/>
  <c r="E136" i="21"/>
  <c r="E134" i="21"/>
  <c r="E129" i="21"/>
  <c r="E126" i="21"/>
  <c r="E121" i="21"/>
  <c r="E118" i="21"/>
  <c r="E113" i="21"/>
  <c r="E110" i="21"/>
  <c r="E105" i="21"/>
  <c r="E102" i="21"/>
  <c r="E97" i="21"/>
  <c r="E94" i="21"/>
  <c r="E89" i="21"/>
  <c r="E86" i="21"/>
  <c r="E81" i="21"/>
  <c r="E78" i="21"/>
  <c r="E73" i="21"/>
  <c r="E70" i="21"/>
  <c r="E65" i="21"/>
  <c r="E62" i="21"/>
  <c r="E57" i="21"/>
  <c r="E54" i="21"/>
  <c r="E49" i="21"/>
  <c r="E46" i="21"/>
  <c r="E41" i="21"/>
  <c r="E38" i="21"/>
  <c r="E33" i="21"/>
  <c r="E30" i="21"/>
  <c r="E25" i="21"/>
  <c r="E21" i="21"/>
  <c r="E16" i="21"/>
  <c r="E13" i="21"/>
  <c r="E8" i="21"/>
  <c r="E5" i="21"/>
  <c r="H147" i="21"/>
  <c r="H139" i="21"/>
  <c r="G137" i="21"/>
  <c r="H138" i="21"/>
  <c r="H149" i="21"/>
  <c r="H141" i="21"/>
  <c r="E127" i="21"/>
  <c r="E119" i="21"/>
  <c r="E111" i="21"/>
  <c r="E103" i="21"/>
  <c r="E95" i="21"/>
  <c r="E87" i="21"/>
  <c r="E79" i="21"/>
  <c r="E71" i="21"/>
  <c r="E63" i="21"/>
  <c r="E55" i="21"/>
  <c r="E47" i="21"/>
  <c r="E39" i="21"/>
  <c r="E31" i="21"/>
  <c r="E22" i="21"/>
  <c r="E14" i="21"/>
  <c r="E6" i="21"/>
  <c r="H148" i="21"/>
  <c r="H140" i="21"/>
  <c r="E23" i="21"/>
  <c r="E149" i="21"/>
  <c r="E141" i="21"/>
  <c r="E133" i="21"/>
  <c r="E125" i="21"/>
  <c r="E117" i="21"/>
  <c r="E109" i="21"/>
  <c r="E101" i="21"/>
  <c r="E93" i="21"/>
  <c r="E85" i="21"/>
  <c r="E77" i="21"/>
  <c r="E69" i="21"/>
  <c r="E61" i="21"/>
  <c r="E53" i="21"/>
  <c r="E45" i="21"/>
  <c r="E37" i="21"/>
  <c r="E29" i="21"/>
  <c r="E20" i="21"/>
  <c r="E12" i="21"/>
  <c r="H146" i="21"/>
  <c r="E147" i="21"/>
  <c r="E139" i="21"/>
  <c r="E131" i="21"/>
  <c r="E123" i="21"/>
  <c r="E115" i="21"/>
  <c r="E107" i="21"/>
  <c r="E99" i="21"/>
  <c r="E91" i="21"/>
  <c r="E83" i="21"/>
  <c r="E75" i="21"/>
  <c r="E67" i="21"/>
  <c r="E59" i="21"/>
  <c r="E51" i="21"/>
  <c r="E43" i="21"/>
  <c r="E35" i="21"/>
  <c r="E27" i="21"/>
  <c r="E18" i="21"/>
  <c r="E10" i="21"/>
  <c r="H152" i="21"/>
  <c r="H144" i="21"/>
  <c r="H153" i="21"/>
  <c r="H145" i="21"/>
  <c r="E130" i="21"/>
  <c r="E122" i="21"/>
  <c r="E114" i="21"/>
  <c r="E106" i="21"/>
  <c r="E98" i="21"/>
  <c r="E90" i="21"/>
  <c r="E82" i="21"/>
  <c r="E74" i="21"/>
  <c r="E66" i="21"/>
  <c r="E58" i="21"/>
  <c r="E50" i="21"/>
  <c r="E42" i="21"/>
  <c r="E34" i="21"/>
  <c r="E26" i="21"/>
  <c r="E17" i="21"/>
  <c r="E9" i="21"/>
  <c r="H151" i="21"/>
  <c r="H143" i="21"/>
  <c r="C155" i="21"/>
  <c r="B152" i="21"/>
  <c r="C153" i="21"/>
  <c r="C154" i="21"/>
  <c r="D45" i="4"/>
  <c r="D38" i="4"/>
  <c r="D40" i="4"/>
  <c r="D41" i="4"/>
  <c r="D35" i="4"/>
  <c r="D44" i="4" s="1"/>
  <c r="D22" i="4"/>
  <c r="D31" i="4" s="1"/>
  <c r="D24" i="4"/>
  <c r="D25" i="4"/>
  <c r="D26" i="4"/>
  <c r="D27" i="4"/>
  <c r="D21" i="4"/>
  <c r="D8" i="4"/>
  <c r="D10" i="4"/>
  <c r="D9" i="17" s="1"/>
  <c r="D11" i="4"/>
  <c r="D10" i="17" s="1"/>
  <c r="D12" i="4"/>
  <c r="D11" i="17" s="1"/>
  <c r="D13" i="4"/>
  <c r="D12" i="17" s="1"/>
  <c r="D16" i="4"/>
  <c r="E41" i="15"/>
  <c r="D44" i="15"/>
  <c r="D43" i="15"/>
  <c r="E27" i="15"/>
  <c r="D30" i="15"/>
  <c r="D29" i="15"/>
  <c r="E13" i="15"/>
  <c r="D16" i="15"/>
  <c r="D15" i="15"/>
  <c r="E41" i="14"/>
  <c r="D44" i="14"/>
  <c r="D43" i="14"/>
  <c r="E27" i="14"/>
  <c r="D30" i="14"/>
  <c r="D29" i="14"/>
  <c r="E13" i="14"/>
  <c r="D16" i="14"/>
  <c r="D15" i="14"/>
  <c r="E42" i="4"/>
  <c r="D42" i="4" s="1"/>
  <c r="E28" i="4"/>
  <c r="D28" i="4" s="1"/>
  <c r="E14" i="4"/>
  <c r="D14" i="4" s="1"/>
  <c r="D14" i="17" l="1"/>
  <c r="D30" i="4"/>
  <c r="D6" i="17"/>
  <c r="D17" i="4"/>
  <c r="D7" i="17"/>
  <c r="D16" i="17" s="1"/>
  <c r="E2" i="21"/>
  <c r="D15" i="4"/>
  <c r="A15" i="4"/>
  <c r="D43" i="4"/>
  <c r="D29" i="4"/>
  <c r="G136" i="21"/>
  <c r="H137" i="21"/>
  <c r="B151" i="21"/>
  <c r="C152" i="21"/>
  <c r="D15" i="17" l="1"/>
  <c r="D13" i="17"/>
  <c r="G135" i="21"/>
  <c r="H136" i="21"/>
  <c r="B150" i="21"/>
  <c r="C151" i="21"/>
  <c r="G134" i="21" l="1"/>
  <c r="H135" i="21"/>
  <c r="B149" i="21"/>
  <c r="C150" i="21"/>
  <c r="G133" i="21" l="1"/>
  <c r="G131" i="21" s="1"/>
  <c r="G132" i="21"/>
  <c r="B148" i="21"/>
  <c r="C149" i="21"/>
  <c r="G130" i="21" l="1"/>
  <c r="H132" i="21"/>
  <c r="G129" i="21"/>
  <c r="H131" i="21"/>
  <c r="B147" i="21"/>
  <c r="C148" i="21"/>
  <c r="G127" i="21" l="1"/>
  <c r="H129" i="21"/>
  <c r="G128" i="21"/>
  <c r="H130" i="21"/>
  <c r="B146" i="21"/>
  <c r="C147" i="21"/>
  <c r="H128" i="21" l="1"/>
  <c r="G126" i="21"/>
  <c r="G125" i="21"/>
  <c r="H127" i="21"/>
  <c r="B145" i="21"/>
  <c r="C146" i="21"/>
  <c r="G123" i="21" l="1"/>
  <c r="H125" i="21"/>
  <c r="G124" i="21"/>
  <c r="H126" i="21"/>
  <c r="B144" i="21"/>
  <c r="C145" i="21"/>
  <c r="G122" i="21" l="1"/>
  <c r="H124" i="21"/>
  <c r="G121" i="21"/>
  <c r="H123" i="21"/>
  <c r="B143" i="21"/>
  <c r="C144" i="21"/>
  <c r="G119" i="21" l="1"/>
  <c r="H119" i="21" s="1"/>
  <c r="H121" i="21"/>
  <c r="G120" i="21"/>
  <c r="H122" i="21"/>
  <c r="B142" i="21"/>
  <c r="C143" i="21"/>
  <c r="G118" i="21" l="1"/>
  <c r="H120" i="21"/>
  <c r="B141" i="21"/>
  <c r="C142" i="21"/>
  <c r="H118" i="21" l="1"/>
  <c r="G117" i="21"/>
  <c r="B140" i="21"/>
  <c r="C141" i="21"/>
  <c r="H117" i="21" l="1"/>
  <c r="G116" i="21"/>
  <c r="B139" i="21"/>
  <c r="C140" i="21"/>
  <c r="H116" i="21" l="1"/>
  <c r="G115" i="21"/>
  <c r="B138" i="21"/>
  <c r="C139" i="21"/>
  <c r="G114" i="21" l="1"/>
  <c r="H115" i="21"/>
  <c r="B137" i="21"/>
  <c r="C138" i="21"/>
  <c r="G113" i="21" l="1"/>
  <c r="H114" i="21"/>
  <c r="B136" i="21"/>
  <c r="C137" i="21"/>
  <c r="G112" i="21" l="1"/>
  <c r="H113" i="21"/>
  <c r="B135" i="21"/>
  <c r="C136" i="21"/>
  <c r="G111" i="21" l="1"/>
  <c r="H112" i="21"/>
  <c r="B134" i="21"/>
  <c r="C135" i="21"/>
  <c r="G110" i="21" l="1"/>
  <c r="H111" i="21"/>
  <c r="B133" i="21"/>
  <c r="C134" i="21"/>
  <c r="G109" i="21" l="1"/>
  <c r="H110" i="21"/>
  <c r="B132" i="21"/>
  <c r="C133" i="21"/>
  <c r="G108" i="21" l="1"/>
  <c r="H109" i="21"/>
  <c r="B131" i="21"/>
  <c r="C132" i="21"/>
  <c r="G107" i="21" l="1"/>
  <c r="H108" i="21"/>
  <c r="B130" i="21"/>
  <c r="C131" i="21"/>
  <c r="G106" i="21" l="1"/>
  <c r="H107" i="21"/>
  <c r="B129" i="21"/>
  <c r="C130" i="21"/>
  <c r="G105" i="21" l="1"/>
  <c r="H106" i="21"/>
  <c r="B128" i="21"/>
  <c r="C129" i="21"/>
  <c r="G104" i="21" l="1"/>
  <c r="H105" i="21"/>
  <c r="B127" i="21"/>
  <c r="C128" i="21"/>
  <c r="G103" i="21" l="1"/>
  <c r="H104" i="21"/>
  <c r="B126" i="21"/>
  <c r="C127" i="21"/>
  <c r="G102" i="21" l="1"/>
  <c r="H103" i="21"/>
  <c r="B125" i="21"/>
  <c r="C126" i="21"/>
  <c r="G101" i="21" l="1"/>
  <c r="H102" i="21"/>
  <c r="B124" i="21"/>
  <c r="C125" i="21"/>
  <c r="G100" i="21" l="1"/>
  <c r="H101" i="21"/>
  <c r="B123" i="21"/>
  <c r="C124" i="21"/>
  <c r="G99" i="21" l="1"/>
  <c r="H100" i="21"/>
  <c r="B122" i="21"/>
  <c r="C123" i="21"/>
  <c r="H99" i="21" l="1"/>
  <c r="G98" i="21"/>
  <c r="B121" i="21"/>
  <c r="C122" i="21"/>
  <c r="H98" i="21" l="1"/>
  <c r="G97" i="21"/>
  <c r="B120" i="21"/>
  <c r="C121" i="21"/>
  <c r="G96" i="21" l="1"/>
  <c r="H97" i="21"/>
  <c r="B119" i="21"/>
  <c r="C120" i="21"/>
  <c r="G95" i="21" l="1"/>
  <c r="H96" i="21"/>
  <c r="B118" i="21"/>
  <c r="C119" i="21"/>
  <c r="G94" i="21" l="1"/>
  <c r="H95" i="21"/>
  <c r="B117" i="21"/>
  <c r="C118" i="21"/>
  <c r="G93" i="21" l="1"/>
  <c r="H94" i="21"/>
  <c r="B116" i="21"/>
  <c r="C117" i="21"/>
  <c r="G92" i="21" l="1"/>
  <c r="H93" i="21"/>
  <c r="B115" i="21"/>
  <c r="C116" i="21"/>
  <c r="G91" i="21" l="1"/>
  <c r="H92" i="21"/>
  <c r="B114" i="21"/>
  <c r="C115" i="21"/>
  <c r="G90" i="21" l="1"/>
  <c r="H91" i="21"/>
  <c r="B113" i="21"/>
  <c r="C114" i="21"/>
  <c r="G89" i="21" l="1"/>
  <c r="H90" i="21"/>
  <c r="B112" i="21"/>
  <c r="C113" i="21"/>
  <c r="G88" i="21" l="1"/>
  <c r="H89" i="21"/>
  <c r="B111" i="21"/>
  <c r="C112" i="21"/>
  <c r="G87" i="21" l="1"/>
  <c r="H88" i="21"/>
  <c r="B110" i="21"/>
  <c r="C111" i="21"/>
  <c r="G86" i="21" l="1"/>
  <c r="H87" i="21"/>
  <c r="B109" i="21"/>
  <c r="C110" i="21"/>
  <c r="G85" i="21" l="1"/>
  <c r="H86" i="21"/>
  <c r="B108" i="21"/>
  <c r="C109" i="21"/>
  <c r="G84" i="21" l="1"/>
  <c r="H85" i="21"/>
  <c r="B107" i="21"/>
  <c r="C108" i="21"/>
  <c r="G83" i="21" l="1"/>
  <c r="H84" i="21"/>
  <c r="B106" i="21"/>
  <c r="C107" i="21"/>
  <c r="G82" i="21" l="1"/>
  <c r="H83" i="21"/>
  <c r="B105" i="21"/>
  <c r="C106" i="21"/>
  <c r="G81" i="21" l="1"/>
  <c r="H82" i="21"/>
  <c r="B104" i="21"/>
  <c r="C105" i="21"/>
  <c r="G80" i="21" l="1"/>
  <c r="H81" i="21"/>
  <c r="B103" i="21"/>
  <c r="C104" i="21"/>
  <c r="G79" i="21" l="1"/>
  <c r="H80" i="21"/>
  <c r="B102" i="21"/>
  <c r="C103" i="21"/>
  <c r="G78" i="21" l="1"/>
  <c r="H79" i="21"/>
  <c r="B101" i="21"/>
  <c r="C102" i="21"/>
  <c r="G77" i="21" l="1"/>
  <c r="H78" i="21"/>
  <c r="B100" i="21"/>
  <c r="C101" i="21"/>
  <c r="G76" i="21" l="1"/>
  <c r="H77" i="21"/>
  <c r="B99" i="21"/>
  <c r="C100" i="21"/>
  <c r="G75" i="21" l="1"/>
  <c r="H76" i="21"/>
  <c r="B98" i="21"/>
  <c r="C99" i="21"/>
  <c r="G74" i="21" l="1"/>
  <c r="H75" i="21"/>
  <c r="B97" i="21"/>
  <c r="C98" i="21"/>
  <c r="G73" i="21" l="1"/>
  <c r="H74" i="21"/>
  <c r="B96" i="21"/>
  <c r="C97" i="21"/>
  <c r="G72" i="21" l="1"/>
  <c r="H73" i="21"/>
  <c r="B95" i="21"/>
  <c r="C96" i="21"/>
  <c r="G71" i="21" l="1"/>
  <c r="H72" i="21"/>
  <c r="B94" i="21"/>
  <c r="C95" i="21"/>
  <c r="G70" i="21" l="1"/>
  <c r="H71" i="21"/>
  <c r="B93" i="21"/>
  <c r="C94" i="21"/>
  <c r="G69" i="21" l="1"/>
  <c r="H70" i="21"/>
  <c r="B92" i="21"/>
  <c r="C93" i="21"/>
  <c r="G68" i="21" l="1"/>
  <c r="H69" i="21"/>
  <c r="B91" i="21"/>
  <c r="C92" i="21"/>
  <c r="G67" i="21" l="1"/>
  <c r="H68" i="21"/>
  <c r="B90" i="21"/>
  <c r="C91" i="21"/>
  <c r="G66" i="21" l="1"/>
  <c r="H67" i="21"/>
  <c r="B89" i="21"/>
  <c r="C90" i="21"/>
  <c r="G65" i="21" l="1"/>
  <c r="H66" i="21"/>
  <c r="B88" i="21"/>
  <c r="C89" i="21"/>
  <c r="G64" i="21" l="1"/>
  <c r="H65" i="21"/>
  <c r="B87" i="21"/>
  <c r="C88" i="21"/>
  <c r="H64" i="21" l="1"/>
  <c r="G63" i="21"/>
  <c r="B86" i="21"/>
  <c r="C87" i="21"/>
  <c r="G62" i="21" l="1"/>
  <c r="H63" i="21"/>
  <c r="B85" i="21"/>
  <c r="C86" i="21"/>
  <c r="G61" i="21" l="1"/>
  <c r="H62" i="21"/>
  <c r="B84" i="21"/>
  <c r="C85" i="21"/>
  <c r="G60" i="21" l="1"/>
  <c r="H61" i="21"/>
  <c r="B83" i="21"/>
  <c r="C84" i="21"/>
  <c r="G59" i="21" l="1"/>
  <c r="H60" i="21"/>
  <c r="B82" i="21"/>
  <c r="C83" i="21"/>
  <c r="G58" i="21" l="1"/>
  <c r="H59" i="21"/>
  <c r="B81" i="21"/>
  <c r="C82" i="21"/>
  <c r="G57" i="21" l="1"/>
  <c r="H58" i="21"/>
  <c r="B80" i="21"/>
  <c r="C81" i="21"/>
  <c r="G56" i="21" l="1"/>
  <c r="H57" i="21"/>
  <c r="B79" i="21"/>
  <c r="C80" i="21"/>
  <c r="G55" i="21" l="1"/>
  <c r="H56" i="21"/>
  <c r="B78" i="21"/>
  <c r="C79" i="21"/>
  <c r="G54" i="21" l="1"/>
  <c r="H55" i="21"/>
  <c r="B77" i="21"/>
  <c r="C78" i="21"/>
  <c r="G53" i="21" l="1"/>
  <c r="H54" i="21"/>
  <c r="B76" i="21"/>
  <c r="C77" i="21"/>
  <c r="G52" i="21" l="1"/>
  <c r="H53" i="21"/>
  <c r="B75" i="21"/>
  <c r="C76" i="21"/>
  <c r="G51" i="21" l="1"/>
  <c r="G50" i="21"/>
  <c r="H52" i="21"/>
  <c r="B74" i="21"/>
  <c r="C75" i="21"/>
  <c r="G48" i="21" l="1"/>
  <c r="H50" i="21"/>
  <c r="G49" i="21"/>
  <c r="H51" i="21"/>
  <c r="B73" i="21"/>
  <c r="C74" i="21"/>
  <c r="G47" i="21" l="1"/>
  <c r="H49" i="21"/>
  <c r="G46" i="21"/>
  <c r="H48" i="21"/>
  <c r="B72" i="21"/>
  <c r="C73" i="21"/>
  <c r="G44" i="21" l="1"/>
  <c r="H44" i="21" s="1"/>
  <c r="H46" i="21"/>
  <c r="G45" i="21"/>
  <c r="H47" i="21"/>
  <c r="B71" i="21"/>
  <c r="C72" i="21"/>
  <c r="G43" i="21" l="1"/>
  <c r="G42" i="21" s="1"/>
  <c r="H45" i="21"/>
  <c r="B70" i="21"/>
  <c r="C71" i="21"/>
  <c r="G41" i="21" l="1"/>
  <c r="H42" i="21"/>
  <c r="B69" i="21"/>
  <c r="C70" i="21"/>
  <c r="H41" i="21" l="1"/>
  <c r="G40" i="21"/>
  <c r="B68" i="21"/>
  <c r="C69" i="21"/>
  <c r="G39" i="21" l="1"/>
  <c r="H40" i="21"/>
  <c r="B67" i="21"/>
  <c r="C68" i="21"/>
  <c r="G38" i="21" l="1"/>
  <c r="H39" i="21"/>
  <c r="B66" i="21"/>
  <c r="C67" i="21"/>
  <c r="G37" i="21" l="1"/>
  <c r="H38" i="21"/>
  <c r="B65" i="21"/>
  <c r="C66" i="21"/>
  <c r="G36" i="21" l="1"/>
  <c r="H37" i="21"/>
  <c r="B64" i="21"/>
  <c r="C65" i="21"/>
  <c r="H36" i="21" l="1"/>
  <c r="G35" i="21"/>
  <c r="B63" i="21"/>
  <c r="C64" i="21"/>
  <c r="G34" i="21" l="1"/>
  <c r="H35" i="21"/>
  <c r="B62" i="21"/>
  <c r="C63" i="21"/>
  <c r="G33" i="21" l="1"/>
  <c r="H34" i="21"/>
  <c r="B61" i="21"/>
  <c r="C62" i="21"/>
  <c r="G32" i="21" l="1"/>
  <c r="H33" i="21"/>
  <c r="C61" i="21"/>
  <c r="B60" i="21"/>
  <c r="G31" i="21" l="1"/>
  <c r="H32" i="21"/>
  <c r="B59" i="21"/>
  <c r="C60" i="21"/>
  <c r="G30" i="21" l="1"/>
  <c r="H31" i="21"/>
  <c r="B58" i="21"/>
  <c r="C59" i="21"/>
  <c r="G29" i="21" l="1"/>
  <c r="H30" i="21"/>
  <c r="B57" i="21"/>
  <c r="C58" i="21"/>
  <c r="G28" i="21" l="1"/>
  <c r="H29" i="21"/>
  <c r="B56" i="21"/>
  <c r="C57" i="21"/>
  <c r="G27" i="21" l="1"/>
  <c r="H28" i="21"/>
  <c r="B55" i="21"/>
  <c r="C56" i="21"/>
  <c r="G26" i="21" l="1"/>
  <c r="H27" i="21"/>
  <c r="B54" i="21"/>
  <c r="C55" i="21"/>
  <c r="G25" i="21" l="1"/>
  <c r="G24" i="21" s="1"/>
  <c r="H26" i="21"/>
  <c r="B53" i="21"/>
  <c r="C54" i="21"/>
  <c r="G23" i="21" l="1"/>
  <c r="G22" i="21" s="1"/>
  <c r="H24" i="21"/>
  <c r="B52" i="21"/>
  <c r="C53" i="21"/>
  <c r="G21" i="21" l="1"/>
  <c r="H22" i="21"/>
  <c r="B51" i="21"/>
  <c r="C52" i="21"/>
  <c r="G20" i="21" l="1"/>
  <c r="H21" i="21"/>
  <c r="B50" i="21"/>
  <c r="C51" i="21"/>
  <c r="G19" i="21" l="1"/>
  <c r="H20" i="21"/>
  <c r="B49" i="21"/>
  <c r="C50" i="21"/>
  <c r="G18" i="21" l="1"/>
  <c r="H19" i="21"/>
  <c r="B48" i="21"/>
  <c r="C49" i="21"/>
  <c r="G17" i="21" l="1"/>
  <c r="H18" i="21"/>
  <c r="B47" i="21"/>
  <c r="C48" i="21"/>
  <c r="G16" i="21" l="1"/>
  <c r="H17" i="21"/>
  <c r="B46" i="21"/>
  <c r="C47" i="21"/>
  <c r="G15" i="21" l="1"/>
  <c r="H16" i="21"/>
  <c r="B45" i="21"/>
  <c r="C46" i="21"/>
  <c r="G14" i="21" l="1"/>
  <c r="H15" i="21"/>
  <c r="B44" i="21"/>
  <c r="C45" i="21"/>
  <c r="G13" i="21" l="1"/>
  <c r="H14" i="21"/>
  <c r="B43" i="21"/>
  <c r="C44" i="21"/>
  <c r="G12" i="21" l="1"/>
  <c r="H13" i="21"/>
  <c r="B42" i="21"/>
  <c r="C43" i="21"/>
  <c r="G11" i="21" l="1"/>
  <c r="H12" i="21"/>
  <c r="B41" i="21"/>
  <c r="C42" i="21"/>
  <c r="G10" i="21" l="1"/>
  <c r="H11" i="21"/>
  <c r="B40" i="21"/>
  <c r="C41" i="21"/>
  <c r="G9" i="21" l="1"/>
  <c r="H9" i="21" s="1"/>
  <c r="H10" i="21"/>
  <c r="B39" i="21"/>
  <c r="C40" i="21"/>
  <c r="H2" i="21" l="1"/>
  <c r="B38" i="21"/>
  <c r="C39" i="21"/>
  <c r="B37" i="21" l="1"/>
  <c r="C38" i="21"/>
  <c r="B36" i="21" l="1"/>
  <c r="C37" i="21"/>
  <c r="B35" i="21" l="1"/>
  <c r="C36" i="21"/>
  <c r="B34" i="21" l="1"/>
  <c r="C35" i="21"/>
  <c r="B33" i="21" l="1"/>
  <c r="C34" i="21"/>
  <c r="B32" i="21" l="1"/>
  <c r="C33" i="21"/>
  <c r="B31" i="21" l="1"/>
  <c r="C32" i="21"/>
  <c r="B30" i="21" l="1"/>
  <c r="C31" i="21"/>
  <c r="B29" i="21" l="1"/>
  <c r="C30" i="21"/>
  <c r="B28" i="21" l="1"/>
  <c r="C29" i="21"/>
  <c r="B27" i="21" l="1"/>
  <c r="C28" i="21"/>
  <c r="B26" i="21" l="1"/>
  <c r="C27" i="21"/>
  <c r="B25" i="21" l="1"/>
  <c r="C26" i="21"/>
  <c r="B24" i="21" l="1"/>
  <c r="C25" i="21"/>
  <c r="B23" i="21" l="1"/>
  <c r="C24" i="21"/>
  <c r="B22" i="21" l="1"/>
  <c r="C23" i="21"/>
  <c r="B21" i="21" l="1"/>
  <c r="C22" i="21"/>
  <c r="B20" i="21" l="1"/>
  <c r="C21" i="21"/>
  <c r="B19" i="21" l="1"/>
  <c r="C20" i="21"/>
  <c r="B18" i="21" l="1"/>
  <c r="C19" i="21"/>
  <c r="B17" i="21" l="1"/>
  <c r="C18" i="21"/>
  <c r="B16" i="21" l="1"/>
  <c r="C17" i="21"/>
  <c r="B15" i="21" l="1"/>
  <c r="C16" i="21"/>
  <c r="B14" i="21" l="1"/>
  <c r="C15" i="21"/>
  <c r="B13" i="21" l="1"/>
  <c r="C14" i="21"/>
  <c r="B12" i="21" l="1"/>
  <c r="C13" i="21"/>
  <c r="B11" i="21" l="1"/>
  <c r="C12" i="21"/>
  <c r="B10" i="21" l="1"/>
  <c r="C11" i="21"/>
  <c r="B8" i="21" l="1"/>
  <c r="B9" i="21"/>
  <c r="C10" i="21"/>
  <c r="C9" i="21" l="1"/>
  <c r="B7" i="21"/>
  <c r="B6" i="21"/>
  <c r="C8" i="21"/>
  <c r="C7" i="21" l="1"/>
  <c r="B5" i="21"/>
  <c r="C5" i="21" s="1"/>
  <c r="B4" i="21"/>
  <c r="C4" i="21" s="1"/>
  <c r="C6" i="21"/>
  <c r="D8" i="30"/>
  <c r="D17" i="30" s="1"/>
  <c r="D14" i="30"/>
  <c r="C2" i="21" l="1"/>
</calcChain>
</file>

<file path=xl/sharedStrings.xml><?xml version="1.0" encoding="utf-8"?>
<sst xmlns="http://schemas.openxmlformats.org/spreadsheetml/2006/main" count="509" uniqueCount="84">
  <si>
    <t>CYCLE OFF</t>
  </si>
  <si>
    <t>SETUP</t>
  </si>
  <si>
    <t>CYCLE ON</t>
  </si>
  <si>
    <t>TOTAL</t>
  </si>
  <si>
    <t>%</t>
  </si>
  <si>
    <t>HOUR</t>
  </si>
  <si>
    <t>SHIFT 3</t>
  </si>
  <si>
    <t>SHIFT 2</t>
  </si>
  <si>
    <t>SHIFT 1</t>
  </si>
  <si>
    <t xml:space="preserve">Date : </t>
  </si>
  <si>
    <t>Daily report</t>
  </si>
  <si>
    <t>MAINTENANCE</t>
  </si>
  <si>
    <t>TOOLING</t>
  </si>
  <si>
    <t>TRAINING</t>
  </si>
  <si>
    <t>NO WORK</t>
  </si>
  <si>
    <t>Mazat 1</t>
  </si>
  <si>
    <t>Other</t>
  </si>
  <si>
    <t>HCN</t>
  </si>
  <si>
    <t xml:space="preserve">Date </t>
  </si>
  <si>
    <t>Shift 1</t>
  </si>
  <si>
    <t>Shift 2</t>
  </si>
  <si>
    <t>Shift 3</t>
  </si>
  <si>
    <t>TIME</t>
  </si>
  <si>
    <t>NCT</t>
  </si>
  <si>
    <t>Utilization Trend</t>
  </si>
  <si>
    <t>Utilization Trend - Shift 1:</t>
  </si>
  <si>
    <t>Utilization Trend - Shift 2:</t>
  </si>
  <si>
    <t xml:space="preserve"> </t>
  </si>
  <si>
    <t xml:space="preserve"> - </t>
  </si>
  <si>
    <t>Utilization Trend - Shift 3:</t>
  </si>
  <si>
    <t>setup</t>
  </si>
  <si>
    <t xml:space="preserve">Machine </t>
  </si>
  <si>
    <t>OEE</t>
  </si>
  <si>
    <t>Availbility</t>
  </si>
  <si>
    <t>Performance</t>
  </si>
  <si>
    <t>Quality</t>
  </si>
  <si>
    <t>Shift Duration</t>
  </si>
  <si>
    <t xml:space="preserve"> Shift 1</t>
  </si>
  <si>
    <t>Availability</t>
  </si>
  <si>
    <t>Units Produced</t>
  </si>
  <si>
    <t>Good units</t>
  </si>
  <si>
    <t>Operation Time</t>
  </si>
  <si>
    <t>Evolution (6 month)</t>
  </si>
  <si>
    <t>Evolution (1 month)</t>
  </si>
  <si>
    <t>All Machines</t>
  </si>
  <si>
    <t>Rate</t>
  </si>
  <si>
    <t>Shift 1:</t>
  </si>
  <si>
    <t>Shift 2:</t>
  </si>
  <si>
    <t>Shift 3:</t>
  </si>
  <si>
    <t>CNC-01</t>
  </si>
  <si>
    <t>STATUS</t>
  </si>
  <si>
    <t>Notes:</t>
  </si>
  <si>
    <t>CNC-02</t>
  </si>
  <si>
    <t>CNC-03</t>
  </si>
  <si>
    <t>Autoclave</t>
  </si>
  <si>
    <t>Oven-101</t>
  </si>
  <si>
    <t>AUTOCLAVE</t>
  </si>
  <si>
    <t>DEP. AS203</t>
  </si>
  <si>
    <t xml:space="preserve">Cycle On </t>
  </si>
  <si>
    <t>Cycle Off</t>
  </si>
  <si>
    <t>Setup</t>
  </si>
  <si>
    <t>CNC - 01</t>
  </si>
  <si>
    <t xml:space="preserve"> Period</t>
  </si>
  <si>
    <t>AUTOCL.</t>
  </si>
  <si>
    <t>OVEN-101</t>
  </si>
  <si>
    <t>Date</t>
  </si>
  <si>
    <t>OVEN 101</t>
  </si>
  <si>
    <t>C:\_eNETDNC</t>
  </si>
  <si>
    <t>C:\Users\Administrator.LT-W7CSMTL-3\Documents\My Data Sources</t>
  </si>
  <si>
    <t>Chemin eNET</t>
  </si>
  <si>
    <t>Chemin de DB</t>
  </si>
  <si>
    <t>Nom des machines</t>
  </si>
  <si>
    <t>_ST_HORIZONTAL</t>
  </si>
  <si>
    <t>HCN 1</t>
  </si>
  <si>
    <t>HCN 2</t>
  </si>
  <si>
    <t>HCN 3</t>
  </si>
  <si>
    <t>_ST_SWISS</t>
  </si>
  <si>
    <t>HARDINGE</t>
  </si>
  <si>
    <t>SA-32</t>
  </si>
  <si>
    <t>GANESH</t>
  </si>
  <si>
    <t>_ST_INTEGREX</t>
  </si>
  <si>
    <t>INTEGREX 1</t>
  </si>
  <si>
    <t>INTEGREX 2</t>
  </si>
  <si>
    <t>NE PAS MODIFIER CES INFORMATIONS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</si>
</sst>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h:mm:ss;@"/>
    <numFmt numFmtId="165" formatCode="mm/dd/yy;@"/>
    <numFmt numFmtId="166" formatCode="m/d/yy;@"/>
    <numFmt numFmtId="167" formatCode="[$-409]d\-mmm\-yyyy;@"/>
    <numFmt numFmtId="168" formatCode="0.0000000%"/>
    <numFmt numFmtId="169" formatCode="[$-409]d\-mmm;@"/>
    <numFmt numFmtId="170" formatCode="[$-409]d/mmm/yy;@"/>
  </numFmts>
  <fonts count="2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22"/>
      <color theme="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22"/>
      <color theme="3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22"/>
      <name val="Calibri"/>
      <family val="2"/>
      <scheme val="minor"/>
    </font>
    <font>
      <sz val="8"/>
      <color rgb="FF000000"/>
      <name val="Tahoma"/>
      <family val="2"/>
    </font>
    <font>
      <sz val="11"/>
      <color rgb="FF000000"/>
      <name val="Calibri"/>
      <family val="2"/>
    </font>
    <font>
      <b/>
      <sz val="2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rgb="FF33CC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44">
    <border>
      <left/>
      <right/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11" fillId="5" borderId="21" applyNumberFormat="0" applyAlignment="0" applyProtection="0"/>
    <xf numFmtId="0" fontId="3" fillId="6" borderId="22" applyNumberFormat="0" applyAlignment="0" applyProtection="0"/>
    <xf numFmtId="0" fontId="4" fillId="7" borderId="0" applyNumberFormat="0" applyBorder="0" applyAlignment="0" applyProtection="0"/>
    <xf numFmtId="9" fontId="10" fillId="0" borderId="0" applyFont="0" applyFill="0" applyBorder="0" applyAlignment="0" applyProtection="0"/>
  </cellStyleXfs>
  <cellXfs count="259">
    <xf numFmtId="0" fontId="0" fillId="0" borderId="0" xfId="0"/>
    <xf numFmtId="0" fontId="6" fillId="0" borderId="3" xfId="0" applyFont="1" applyBorder="1"/>
    <xf numFmtId="0" fontId="6" fillId="0" borderId="6" xfId="0" applyFont="1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8" fillId="0" borderId="19" xfId="0" applyFont="1" applyBorder="1"/>
    <xf numFmtId="0" fontId="6" fillId="0" borderId="16" xfId="0" applyFont="1" applyBorder="1"/>
    <xf numFmtId="0" fontId="6" fillId="0" borderId="14" xfId="0" applyFont="1" applyBorder="1"/>
    <xf numFmtId="0" fontId="4" fillId="4" borderId="0" xfId="0" applyFont="1" applyFill="1"/>
    <xf numFmtId="164" fontId="4" fillId="4" borderId="0" xfId="0" applyNumberFormat="1" applyFont="1" applyFill="1" applyAlignment="1">
      <alignment horizontal="center"/>
    </xf>
    <xf numFmtId="164" fontId="4" fillId="4" borderId="0" xfId="1" applyNumberFormat="1" applyFont="1" applyFill="1" applyBorder="1" applyAlignment="1">
      <alignment horizontal="center"/>
    </xf>
    <xf numFmtId="0" fontId="4" fillId="4" borderId="0" xfId="2" applyFont="1" applyFill="1" applyBorder="1" applyAlignment="1"/>
    <xf numFmtId="164" fontId="4" fillId="4" borderId="0" xfId="2" applyNumberFormat="1" applyFont="1" applyFill="1" applyBorder="1" applyAlignment="1">
      <alignment horizontal="center"/>
    </xf>
    <xf numFmtId="0" fontId="4" fillId="4" borderId="0" xfId="1" applyFont="1" applyFill="1" applyBorder="1" applyAlignment="1"/>
    <xf numFmtId="0" fontId="4" fillId="4" borderId="0" xfId="0" applyFont="1" applyFill="1" applyBorder="1"/>
    <xf numFmtId="0" fontId="3" fillId="4" borderId="0" xfId="0" applyFont="1" applyFill="1" applyBorder="1"/>
    <xf numFmtId="0" fontId="3" fillId="4" borderId="0" xfId="0" applyFont="1" applyFill="1"/>
    <xf numFmtId="164" fontId="3" fillId="4" borderId="0" xfId="0" applyNumberFormat="1" applyFont="1" applyFill="1" applyAlignment="1">
      <alignment horizontal="center"/>
    </xf>
    <xf numFmtId="0" fontId="3" fillId="4" borderId="0" xfId="1" applyFont="1" applyFill="1" applyBorder="1" applyAlignment="1"/>
    <xf numFmtId="164" fontId="3" fillId="4" borderId="0" xfId="1" applyNumberFormat="1" applyFont="1" applyFill="1" applyBorder="1" applyAlignment="1">
      <alignment horizontal="center"/>
    </xf>
    <xf numFmtId="0" fontId="3" fillId="4" borderId="9" xfId="2" applyFont="1" applyFill="1" applyBorder="1" applyAlignment="1"/>
    <xf numFmtId="164" fontId="3" fillId="4" borderId="9" xfId="2" applyNumberFormat="1" applyFont="1" applyFill="1" applyBorder="1" applyAlignment="1">
      <alignment horizontal="center"/>
    </xf>
    <xf numFmtId="0" fontId="4" fillId="4" borderId="9" xfId="2" applyFont="1" applyFill="1" applyBorder="1" applyAlignment="1"/>
    <xf numFmtId="164" fontId="4" fillId="4" borderId="9" xfId="2" applyNumberFormat="1" applyFont="1" applyFill="1" applyBorder="1" applyAlignment="1">
      <alignment horizontal="center"/>
    </xf>
    <xf numFmtId="0" fontId="0" fillId="0" borderId="19" xfId="0" applyBorder="1"/>
    <xf numFmtId="0" fontId="4" fillId="0" borderId="17" xfId="0" applyFont="1" applyBorder="1"/>
    <xf numFmtId="0" fontId="4" fillId="0" borderId="0" xfId="0" applyFont="1" applyBorder="1"/>
    <xf numFmtId="0" fontId="4" fillId="0" borderId="0" xfId="0" applyFont="1"/>
    <xf numFmtId="165" fontId="0" fillId="0" borderId="0" xfId="0" applyNumberFormat="1"/>
    <xf numFmtId="165" fontId="0" fillId="0" borderId="0" xfId="0" applyNumberFormat="1" applyAlignment="1">
      <alignment horizontal="center"/>
    </xf>
    <xf numFmtId="10" fontId="4" fillId="0" borderId="0" xfId="0" applyNumberFormat="1" applyFont="1"/>
    <xf numFmtId="0" fontId="3" fillId="6" borderId="22" xfId="4"/>
    <xf numFmtId="0" fontId="3" fillId="6" borderId="22" xfId="4" applyAlignment="1">
      <alignment horizontal="center" vertical="center"/>
    </xf>
    <xf numFmtId="0" fontId="3" fillId="6" borderId="22" xfId="4" applyAlignment="1">
      <alignment horizontal="center"/>
    </xf>
    <xf numFmtId="0" fontId="4" fillId="9" borderId="0" xfId="2" applyFont="1" applyFill="1" applyBorder="1" applyAlignment="1"/>
    <xf numFmtId="0" fontId="4" fillId="9" borderId="5" xfId="2" applyFont="1" applyFill="1" applyBorder="1" applyAlignment="1"/>
    <xf numFmtId="10" fontId="4" fillId="9" borderId="0" xfId="2" applyNumberFormat="1" applyFont="1" applyFill="1" applyAlignment="1">
      <alignment horizontal="center"/>
    </xf>
    <xf numFmtId="0" fontId="4" fillId="8" borderId="2" xfId="1" applyFont="1" applyFill="1" applyBorder="1" applyAlignment="1"/>
    <xf numFmtId="0" fontId="4" fillId="8" borderId="1" xfId="1" applyFont="1" applyFill="1" applyBorder="1" applyAlignment="1"/>
    <xf numFmtId="164" fontId="4" fillId="8" borderId="0" xfId="1" applyNumberFormat="1" applyFont="1" applyFill="1" applyBorder="1" applyAlignment="1">
      <alignment horizontal="center"/>
    </xf>
    <xf numFmtId="10" fontId="4" fillId="8" borderId="0" xfId="1" applyNumberFormat="1" applyFont="1" applyFill="1" applyBorder="1" applyAlignment="1">
      <alignment horizontal="center"/>
    </xf>
    <xf numFmtId="164" fontId="9" fillId="10" borderId="0" xfId="1" applyNumberFormat="1" applyFont="1" applyFill="1" applyBorder="1" applyAlignment="1">
      <alignment horizontal="center"/>
    </xf>
    <xf numFmtId="164" fontId="9" fillId="10" borderId="4" xfId="1" applyNumberFormat="1" applyFont="1" applyFill="1" applyBorder="1" applyAlignment="1">
      <alignment horizontal="center"/>
    </xf>
    <xf numFmtId="10" fontId="0" fillId="10" borderId="0" xfId="0" applyNumberFormat="1" applyFill="1" applyAlignment="1">
      <alignment horizontal="center"/>
    </xf>
    <xf numFmtId="10" fontId="0" fillId="10" borderId="3" xfId="0" applyNumberFormat="1" applyFill="1" applyBorder="1" applyAlignment="1">
      <alignment horizontal="center"/>
    </xf>
    <xf numFmtId="0" fontId="8" fillId="11" borderId="19" xfId="0" applyFont="1" applyFill="1" applyBorder="1"/>
    <xf numFmtId="0" fontId="6" fillId="11" borderId="3" xfId="0" applyFont="1" applyFill="1" applyBorder="1"/>
    <xf numFmtId="0" fontId="6" fillId="11" borderId="6" xfId="0" applyFont="1" applyFill="1" applyBorder="1"/>
    <xf numFmtId="0" fontId="6" fillId="11" borderId="14" xfId="0" applyFont="1" applyFill="1" applyBorder="1"/>
    <xf numFmtId="164" fontId="4" fillId="9" borderId="0" xfId="1" applyNumberFormat="1" applyFont="1" applyFill="1" applyBorder="1" applyAlignment="1">
      <alignment horizontal="center"/>
    </xf>
    <xf numFmtId="0" fontId="6" fillId="11" borderId="16" xfId="0" applyFont="1" applyFill="1" applyBorder="1"/>
    <xf numFmtId="164" fontId="9" fillId="10" borderId="25" xfId="1" applyNumberFormat="1" applyFont="1" applyFill="1" applyBorder="1" applyAlignment="1">
      <alignment horizontal="center"/>
    </xf>
    <xf numFmtId="9" fontId="13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164" fontId="13" fillId="0" borderId="0" xfId="0" applyNumberFormat="1" applyFont="1" applyAlignment="1">
      <alignment horizontal="center"/>
    </xf>
    <xf numFmtId="9" fontId="0" fillId="0" borderId="0" xfId="0" applyNumberFormat="1"/>
    <xf numFmtId="0" fontId="18" fillId="0" borderId="0" xfId="0" applyFont="1"/>
    <xf numFmtId="0" fontId="19" fillId="11" borderId="19" xfId="0" applyFont="1" applyFill="1" applyBorder="1"/>
    <xf numFmtId="166" fontId="6" fillId="11" borderId="3" xfId="0" applyNumberFormat="1" applyFont="1" applyFill="1" applyBorder="1"/>
    <xf numFmtId="166" fontId="6" fillId="11" borderId="3" xfId="0" applyNumberFormat="1" applyFont="1" applyFill="1" applyBorder="1" applyAlignment="1">
      <alignment horizontal="center"/>
    </xf>
    <xf numFmtId="166" fontId="6" fillId="11" borderId="16" xfId="0" applyNumberFormat="1" applyFont="1" applyFill="1" applyBorder="1"/>
    <xf numFmtId="9" fontId="4" fillId="0" borderId="0" xfId="0" applyNumberFormat="1" applyFont="1"/>
    <xf numFmtId="0" fontId="12" fillId="0" borderId="0" xfId="0" applyFont="1"/>
    <xf numFmtId="10" fontId="4" fillId="12" borderId="0" xfId="0" applyNumberFormat="1" applyFont="1" applyFill="1" applyAlignment="1">
      <alignment horizontal="center"/>
    </xf>
    <xf numFmtId="164" fontId="4" fillId="12" borderId="0" xfId="1" applyNumberFormat="1" applyFont="1" applyFill="1" applyBorder="1" applyAlignment="1">
      <alignment horizontal="center"/>
    </xf>
    <xf numFmtId="164" fontId="4" fillId="12" borderId="25" xfId="1" applyNumberFormat="1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3" xfId="0" applyFont="1" applyBorder="1"/>
    <xf numFmtId="164" fontId="4" fillId="0" borderId="3" xfId="0" applyNumberFormat="1" applyFont="1" applyBorder="1"/>
    <xf numFmtId="0" fontId="3" fillId="4" borderId="0" xfId="2" applyFont="1" applyFill="1" applyBorder="1" applyAlignment="1"/>
    <xf numFmtId="0" fontId="3" fillId="9" borderId="22" xfId="4" applyFill="1" applyAlignment="1">
      <alignment horizontal="center"/>
    </xf>
    <xf numFmtId="10" fontId="4" fillId="9" borderId="26" xfId="0" applyNumberFormat="1" applyFont="1" applyFill="1" applyBorder="1" applyAlignment="1">
      <alignment horizontal="center"/>
    </xf>
    <xf numFmtId="0" fontId="6" fillId="11" borderId="14" xfId="0" applyFont="1" applyFill="1" applyBorder="1" applyAlignment="1">
      <alignment horizontal="center"/>
    </xf>
    <xf numFmtId="0" fontId="6" fillId="11" borderId="15" xfId="0" applyFont="1" applyFill="1" applyBorder="1" applyAlignment="1">
      <alignment horizontal="center"/>
    </xf>
    <xf numFmtId="10" fontId="0" fillId="0" borderId="0" xfId="0" applyNumberFormat="1"/>
    <xf numFmtId="164" fontId="4" fillId="0" borderId="17" xfId="0" applyNumberFormat="1" applyFont="1" applyBorder="1"/>
    <xf numFmtId="0" fontId="4" fillId="0" borderId="18" xfId="0" applyFont="1" applyBorder="1"/>
    <xf numFmtId="0" fontId="0" fillId="10" borderId="0" xfId="0" applyNumberFormat="1" applyFill="1" applyAlignment="1">
      <alignment horizontal="center"/>
    </xf>
    <xf numFmtId="0" fontId="0" fillId="11" borderId="26" xfId="0" applyFill="1" applyBorder="1"/>
    <xf numFmtId="0" fontId="4" fillId="9" borderId="26" xfId="0" applyFont="1" applyFill="1" applyBorder="1"/>
    <xf numFmtId="9" fontId="4" fillId="9" borderId="0" xfId="0" applyNumberFormat="1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3" fillId="6" borderId="27" xfId="4" applyBorder="1" applyAlignment="1">
      <alignment horizontal="center"/>
    </xf>
    <xf numFmtId="0" fontId="3" fillId="6" borderId="28" xfId="4" applyBorder="1" applyAlignment="1">
      <alignment horizontal="center"/>
    </xf>
    <xf numFmtId="0" fontId="0" fillId="0" borderId="29" xfId="0" applyBorder="1"/>
    <xf numFmtId="10" fontId="0" fillId="8" borderId="29" xfId="0" applyNumberFormat="1" applyFill="1" applyBorder="1" applyAlignment="1">
      <alignment horizontal="center"/>
    </xf>
    <xf numFmtId="167" fontId="6" fillId="11" borderId="3" xfId="0" applyNumberFormat="1" applyFont="1" applyFill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21" fillId="0" borderId="0" xfId="0" applyFont="1"/>
    <xf numFmtId="168" fontId="0" fillId="0" borderId="0" xfId="0" applyNumberFormat="1"/>
    <xf numFmtId="169" fontId="6" fillId="11" borderId="26" xfId="0" applyNumberFormat="1" applyFont="1" applyFill="1" applyBorder="1" applyAlignment="1">
      <alignment horizontal="center"/>
    </xf>
    <xf numFmtId="9" fontId="13" fillId="0" borderId="32" xfId="0" applyNumberFormat="1" applyFont="1" applyBorder="1" applyAlignment="1">
      <alignment horizontal="center"/>
    </xf>
    <xf numFmtId="0" fontId="8" fillId="11" borderId="0" xfId="0" applyFont="1" applyFill="1" applyBorder="1"/>
    <xf numFmtId="0" fontId="6" fillId="11" borderId="0" xfId="0" applyFont="1" applyFill="1" applyBorder="1"/>
    <xf numFmtId="0" fontId="17" fillId="0" borderId="30" xfId="4" applyFont="1" applyFill="1" applyBorder="1"/>
    <xf numFmtId="0" fontId="17" fillId="0" borderId="32" xfId="4" applyFont="1" applyFill="1" applyBorder="1" applyAlignment="1">
      <alignment horizontal="center" vertical="center"/>
    </xf>
    <xf numFmtId="0" fontId="17" fillId="0" borderId="30" xfId="4" applyFont="1" applyFill="1" applyBorder="1" applyAlignment="1">
      <alignment horizontal="center" vertical="center"/>
    </xf>
    <xf numFmtId="164" fontId="4" fillId="8" borderId="33" xfId="5" applyNumberFormat="1" applyFont="1" applyFill="1" applyBorder="1" applyAlignment="1">
      <alignment horizontal="center"/>
    </xf>
    <xf numFmtId="10" fontId="4" fillId="8" borderId="34" xfId="5" applyNumberFormat="1" applyFont="1" applyFill="1" applyBorder="1" applyAlignment="1">
      <alignment horizontal="center"/>
    </xf>
    <xf numFmtId="164" fontId="4" fillId="9" borderId="35" xfId="2" applyNumberFormat="1" applyFont="1" applyFill="1" applyBorder="1" applyAlignment="1">
      <alignment horizontal="center"/>
    </xf>
    <xf numFmtId="10" fontId="4" fillId="9" borderId="36" xfId="2" applyNumberFormat="1" applyFont="1" applyFill="1" applyBorder="1" applyAlignment="1">
      <alignment horizontal="center"/>
    </xf>
    <xf numFmtId="164" fontId="4" fillId="12" borderId="35" xfId="1" applyNumberFormat="1" applyFont="1" applyFill="1" applyBorder="1" applyAlignment="1">
      <alignment horizontal="center"/>
    </xf>
    <xf numFmtId="10" fontId="4" fillId="12" borderId="36" xfId="0" applyNumberFormat="1" applyFont="1" applyFill="1" applyBorder="1" applyAlignment="1">
      <alignment horizontal="center"/>
    </xf>
    <xf numFmtId="164" fontId="9" fillId="10" borderId="35" xfId="1" applyNumberFormat="1" applyFont="1" applyFill="1" applyBorder="1" applyAlignment="1">
      <alignment horizontal="center"/>
    </xf>
    <xf numFmtId="10" fontId="9" fillId="10" borderId="36" xfId="0" applyNumberFormat="1" applyFont="1" applyFill="1" applyBorder="1" applyAlignment="1">
      <alignment horizontal="center"/>
    </xf>
    <xf numFmtId="164" fontId="16" fillId="4" borderId="30" xfId="1" applyNumberFormat="1" applyFont="1" applyFill="1" applyBorder="1" applyAlignment="1">
      <alignment horizontal="center"/>
    </xf>
    <xf numFmtId="0" fontId="3" fillId="8" borderId="34" xfId="5" applyFont="1" applyFill="1" applyBorder="1" applyAlignment="1"/>
    <xf numFmtId="0" fontId="3" fillId="9" borderId="0" xfId="2" applyFont="1" applyFill="1" applyBorder="1" applyAlignment="1"/>
    <xf numFmtId="0" fontId="3" fillId="9" borderId="36" xfId="2" applyFont="1" applyFill="1" applyBorder="1" applyAlignment="1"/>
    <xf numFmtId="0" fontId="0" fillId="0" borderId="0" xfId="0" applyBorder="1"/>
    <xf numFmtId="0" fontId="3" fillId="8" borderId="0" xfId="5" applyFont="1" applyFill="1" applyBorder="1" applyAlignment="1"/>
    <xf numFmtId="164" fontId="4" fillId="0" borderId="0" xfId="0" applyNumberFormat="1" applyFont="1" applyBorder="1"/>
    <xf numFmtId="164" fontId="4" fillId="4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164" fontId="3" fillId="4" borderId="0" xfId="0" applyNumberFormat="1" applyFont="1" applyFill="1" applyBorder="1" applyAlignment="1">
      <alignment horizontal="center"/>
    </xf>
    <xf numFmtId="164" fontId="3" fillId="4" borderId="0" xfId="2" applyNumberFormat="1" applyFont="1" applyFill="1" applyBorder="1" applyAlignment="1">
      <alignment horizontal="center"/>
    </xf>
    <xf numFmtId="164" fontId="4" fillId="8" borderId="35" xfId="5" applyNumberFormat="1" applyFont="1" applyFill="1" applyBorder="1" applyAlignment="1">
      <alignment horizontal="center"/>
    </xf>
    <xf numFmtId="10" fontId="4" fillId="8" borderId="36" xfId="5" applyNumberFormat="1" applyFont="1" applyFill="1" applyBorder="1" applyAlignment="1">
      <alignment horizontal="center"/>
    </xf>
    <xf numFmtId="0" fontId="3" fillId="8" borderId="35" xfId="5" applyFont="1" applyFill="1" applyBorder="1" applyAlignment="1"/>
    <xf numFmtId="0" fontId="3" fillId="8" borderId="36" xfId="5" applyFont="1" applyFill="1" applyBorder="1" applyAlignment="1"/>
    <xf numFmtId="0" fontId="3" fillId="9" borderId="35" xfId="2" applyFont="1" applyFill="1" applyBorder="1" applyAlignment="1"/>
    <xf numFmtId="0" fontId="6" fillId="11" borderId="31" xfId="0" applyFont="1" applyFill="1" applyBorder="1"/>
    <xf numFmtId="0" fontId="13" fillId="0" borderId="0" xfId="0" applyFont="1"/>
    <xf numFmtId="0" fontId="0" fillId="0" borderId="37" xfId="0" applyBorder="1"/>
    <xf numFmtId="0" fontId="9" fillId="0" borderId="0" xfId="0" applyFont="1" applyFill="1"/>
    <xf numFmtId="0" fontId="6" fillId="0" borderId="3" xfId="0" applyFont="1" applyFill="1" applyBorder="1"/>
    <xf numFmtId="0" fontId="0" fillId="0" borderId="0" xfId="0" applyFill="1"/>
    <xf numFmtId="0" fontId="9" fillId="0" borderId="17" xfId="0" applyFont="1" applyFill="1" applyBorder="1"/>
    <xf numFmtId="0" fontId="9" fillId="0" borderId="7" xfId="0" applyFont="1" applyFill="1" applyBorder="1"/>
    <xf numFmtId="0" fontId="9" fillId="0" borderId="0" xfId="0" applyFont="1" applyFill="1" applyBorder="1"/>
    <xf numFmtId="0" fontId="9" fillId="0" borderId="19" xfId="0" applyFont="1" applyFill="1" applyBorder="1"/>
    <xf numFmtId="0" fontId="9" fillId="0" borderId="3" xfId="0" applyFont="1" applyFill="1" applyBorder="1"/>
    <xf numFmtId="0" fontId="9" fillId="0" borderId="16" xfId="0" applyFont="1" applyFill="1" applyBorder="1"/>
    <xf numFmtId="10" fontId="9" fillId="0" borderId="0" xfId="0" applyNumberFormat="1" applyFont="1" applyFill="1"/>
    <xf numFmtId="9" fontId="9" fillId="0" borderId="0" xfId="6" applyFont="1" applyFill="1"/>
    <xf numFmtId="10" fontId="9" fillId="0" borderId="0" xfId="6" applyNumberFormat="1" applyFont="1" applyFill="1"/>
    <xf numFmtId="0" fontId="17" fillId="0" borderId="0" xfId="0" applyFont="1" applyFill="1"/>
    <xf numFmtId="0" fontId="25" fillId="0" borderId="0" xfId="0" applyFont="1" applyFill="1" applyBorder="1"/>
    <xf numFmtId="0" fontId="24" fillId="0" borderId="0" xfId="0" applyFont="1" applyFill="1" applyBorder="1"/>
    <xf numFmtId="9" fontId="0" fillId="0" borderId="0" xfId="6" applyFont="1"/>
    <xf numFmtId="167" fontId="6" fillId="0" borderId="3" xfId="0" applyNumberFormat="1" applyFont="1" applyFill="1" applyBorder="1" applyAlignment="1">
      <alignment horizontal="right"/>
    </xf>
    <xf numFmtId="0" fontId="6" fillId="0" borderId="3" xfId="0" applyFont="1" applyFill="1" applyBorder="1" applyAlignment="1">
      <alignment horizontal="right"/>
    </xf>
    <xf numFmtId="0" fontId="19" fillId="0" borderId="2" xfId="0" applyFont="1" applyFill="1" applyBorder="1"/>
    <xf numFmtId="0" fontId="6" fillId="0" borderId="2" xfId="0" applyFont="1" applyFill="1" applyBorder="1"/>
    <xf numFmtId="166" fontId="6" fillId="0" borderId="2" xfId="0" applyNumberFormat="1" applyFont="1" applyFill="1" applyBorder="1"/>
    <xf numFmtId="166" fontId="6" fillId="0" borderId="2" xfId="0" applyNumberFormat="1" applyFont="1" applyFill="1" applyBorder="1" applyAlignment="1">
      <alignment horizontal="center"/>
    </xf>
    <xf numFmtId="0" fontId="3" fillId="13" borderId="39" xfId="4" applyFill="1" applyBorder="1" applyAlignment="1">
      <alignment horizontal="center"/>
    </xf>
    <xf numFmtId="0" fontId="3" fillId="13" borderId="40" xfId="4" applyFill="1" applyBorder="1" applyAlignment="1">
      <alignment horizontal="center"/>
    </xf>
    <xf numFmtId="0" fontId="3" fillId="13" borderId="27" xfId="4" applyFill="1" applyBorder="1" applyAlignment="1">
      <alignment horizontal="center"/>
    </xf>
    <xf numFmtId="10" fontId="13" fillId="13" borderId="0" xfId="0" applyNumberFormat="1" applyFont="1" applyFill="1" applyBorder="1" applyAlignment="1">
      <alignment horizontal="center"/>
    </xf>
    <xf numFmtId="9" fontId="4" fillId="13" borderId="0" xfId="0" applyNumberFormat="1" applyFont="1" applyFill="1" applyAlignment="1">
      <alignment horizontal="center"/>
    </xf>
    <xf numFmtId="9" fontId="20" fillId="13" borderId="0" xfId="0" applyNumberFormat="1" applyFont="1" applyFill="1" applyAlignment="1">
      <alignment horizontal="center"/>
    </xf>
    <xf numFmtId="10" fontId="0" fillId="13" borderId="0" xfId="0" applyNumberFormat="1" applyFill="1" applyAlignment="1">
      <alignment horizontal="center"/>
    </xf>
    <xf numFmtId="0" fontId="11" fillId="0" borderId="41" xfId="3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9" fontId="17" fillId="0" borderId="0" xfId="0" applyNumberFormat="1" applyFont="1" applyFill="1" applyBorder="1" applyAlignment="1">
      <alignment horizontal="center"/>
    </xf>
    <xf numFmtId="10" fontId="11" fillId="0" borderId="0" xfId="3" applyNumberFormat="1" applyFill="1" applyBorder="1" applyAlignment="1">
      <alignment horizontal="center"/>
    </xf>
    <xf numFmtId="9" fontId="11" fillId="0" borderId="0" xfId="3" applyNumberFormat="1" applyFill="1" applyBorder="1" applyAlignment="1">
      <alignment horizontal="center"/>
    </xf>
    <xf numFmtId="0" fontId="11" fillId="5" borderId="40" xfId="3" applyBorder="1"/>
    <xf numFmtId="0" fontId="11" fillId="5" borderId="40" xfId="3" applyBorder="1" applyAlignment="1">
      <alignment horizontal="center"/>
    </xf>
    <xf numFmtId="164" fontId="4" fillId="8" borderId="33" xfId="1" applyNumberFormat="1" applyFont="1" applyFill="1" applyBorder="1" applyAlignment="1">
      <alignment horizontal="center"/>
    </xf>
    <xf numFmtId="10" fontId="4" fillId="8" borderId="34" xfId="1" applyNumberFormat="1" applyFont="1" applyFill="1" applyBorder="1" applyAlignment="1">
      <alignment horizontal="center"/>
    </xf>
    <xf numFmtId="164" fontId="4" fillId="12" borderId="35" xfId="0" applyNumberFormat="1" applyFont="1" applyFill="1" applyBorder="1" applyAlignment="1">
      <alignment horizontal="center"/>
    </xf>
    <xf numFmtId="164" fontId="0" fillId="10" borderId="35" xfId="0" applyNumberFormat="1" applyFill="1" applyBorder="1" applyAlignment="1">
      <alignment horizontal="center"/>
    </xf>
    <xf numFmtId="10" fontId="0" fillId="10" borderId="36" xfId="0" applyNumberFormat="1" applyFill="1" applyBorder="1" applyAlignment="1">
      <alignment horizontal="center"/>
    </xf>
    <xf numFmtId="164" fontId="0" fillId="10" borderId="42" xfId="0" applyNumberFormat="1" applyFill="1" applyBorder="1" applyAlignment="1">
      <alignment horizontal="center"/>
    </xf>
    <xf numFmtId="10" fontId="0" fillId="10" borderId="43" xfId="0" applyNumberFormat="1" applyFill="1" applyBorder="1" applyAlignment="1">
      <alignment horizontal="center"/>
    </xf>
    <xf numFmtId="164" fontId="4" fillId="12" borderId="35" xfId="2" applyNumberFormat="1" applyFont="1" applyFill="1" applyBorder="1" applyAlignment="1">
      <alignment horizontal="center"/>
    </xf>
    <xf numFmtId="164" fontId="9" fillId="10" borderId="35" xfId="2" applyNumberFormat="1" applyFont="1" applyFill="1" applyBorder="1" applyAlignment="1">
      <alignment horizontal="center"/>
    </xf>
    <xf numFmtId="164" fontId="9" fillId="10" borderId="42" xfId="2" applyNumberFormat="1" applyFont="1" applyFill="1" applyBorder="1" applyAlignment="1">
      <alignment horizontal="center"/>
    </xf>
    <xf numFmtId="164" fontId="4" fillId="9" borderId="35" xfId="1" applyNumberFormat="1" applyFont="1" applyFill="1" applyBorder="1" applyAlignment="1">
      <alignment horizontal="center"/>
    </xf>
    <xf numFmtId="164" fontId="9" fillId="10" borderId="42" xfId="1" applyNumberFormat="1" applyFont="1" applyFill="1" applyBorder="1" applyAlignment="1">
      <alignment horizontal="center"/>
    </xf>
    <xf numFmtId="10" fontId="9" fillId="10" borderId="43" xfId="0" applyNumberFormat="1" applyFont="1" applyFill="1" applyBorder="1" applyAlignment="1">
      <alignment horizontal="center"/>
    </xf>
    <xf numFmtId="0" fontId="3" fillId="8" borderId="33" xfId="5" applyFont="1" applyFill="1" applyBorder="1" applyAlignment="1"/>
    <xf numFmtId="0" fontId="0" fillId="4" borderId="0" xfId="0" applyFill="1"/>
    <xf numFmtId="0" fontId="0" fillId="4" borderId="29" xfId="0" applyFill="1" applyBorder="1"/>
    <xf numFmtId="0" fontId="13" fillId="4" borderId="29" xfId="0" applyFont="1" applyFill="1" applyBorder="1"/>
    <xf numFmtId="0" fontId="0" fillId="4" borderId="0" xfId="0" applyFill="1" applyBorder="1"/>
    <xf numFmtId="0" fontId="28" fillId="0" borderId="30" xfId="0" applyFont="1" applyBorder="1"/>
    <xf numFmtId="0" fontId="0" fillId="0" borderId="31" xfId="0" applyBorder="1"/>
    <xf numFmtId="0" fontId="0" fillId="0" borderId="32" xfId="0" applyBorder="1"/>
    <xf numFmtId="0" fontId="23" fillId="4" borderId="0" xfId="0" applyFont="1" applyFill="1" applyBorder="1" applyAlignment="1">
      <alignment horizontal="right"/>
    </xf>
    <xf numFmtId="0" fontId="15" fillId="10" borderId="42" xfId="0" applyFont="1" applyFill="1" applyBorder="1" applyAlignment="1">
      <alignment horizontal="left"/>
    </xf>
    <xf numFmtId="0" fontId="15" fillId="10" borderId="43" xfId="0" applyFont="1" applyFill="1" applyBorder="1" applyAlignment="1">
      <alignment horizontal="left"/>
    </xf>
    <xf numFmtId="0" fontId="13" fillId="0" borderId="30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15" fillId="10" borderId="35" xfId="0" applyFont="1" applyFill="1" applyBorder="1" applyAlignment="1">
      <alignment horizontal="left"/>
    </xf>
    <xf numFmtId="0" fontId="15" fillId="10" borderId="36" xfId="0" applyFont="1" applyFill="1" applyBorder="1" applyAlignment="1">
      <alignment horizontal="left"/>
    </xf>
    <xf numFmtId="0" fontId="17" fillId="0" borderId="30" xfId="4" applyFont="1" applyFill="1" applyBorder="1" applyAlignment="1">
      <alignment horizontal="left"/>
    </xf>
    <xf numFmtId="0" fontId="17" fillId="0" borderId="32" xfId="4" applyFont="1" applyFill="1" applyBorder="1" applyAlignment="1">
      <alignment horizontal="left"/>
    </xf>
    <xf numFmtId="0" fontId="23" fillId="0" borderId="0" xfId="0" applyFont="1" applyBorder="1" applyAlignment="1">
      <alignment horizontal="right"/>
    </xf>
    <xf numFmtId="0" fontId="7" fillId="11" borderId="30" xfId="0" applyFont="1" applyFill="1" applyBorder="1" applyAlignment="1">
      <alignment horizontal="left"/>
    </xf>
    <xf numFmtId="0" fontId="7" fillId="11" borderId="31" xfId="0" applyFont="1" applyFill="1" applyBorder="1" applyAlignment="1">
      <alignment horizontal="left"/>
    </xf>
    <xf numFmtId="0" fontId="7" fillId="11" borderId="31" xfId="0" applyFont="1" applyFill="1" applyBorder="1" applyAlignment="1">
      <alignment horizontal="right"/>
    </xf>
    <xf numFmtId="14" fontId="7" fillId="11" borderId="31" xfId="0" applyNumberFormat="1" applyFont="1" applyFill="1" applyBorder="1" applyAlignment="1">
      <alignment horizontal="right"/>
    </xf>
    <xf numFmtId="0" fontId="7" fillId="11" borderId="32" xfId="0" applyFont="1" applyFill="1" applyBorder="1" applyAlignment="1">
      <alignment horizontal="right"/>
    </xf>
    <xf numFmtId="0" fontId="14" fillId="12" borderId="35" xfId="0" applyFont="1" applyFill="1" applyBorder="1" applyAlignment="1">
      <alignment horizontal="left"/>
    </xf>
    <xf numFmtId="0" fontId="14" fillId="12" borderId="36" xfId="0" applyFont="1" applyFill="1" applyBorder="1" applyAlignment="1">
      <alignment horizontal="left"/>
    </xf>
    <xf numFmtId="0" fontId="14" fillId="12" borderId="0" xfId="0" applyFont="1" applyFill="1" applyBorder="1" applyAlignment="1">
      <alignment horizontal="left"/>
    </xf>
    <xf numFmtId="0" fontId="15" fillId="10" borderId="0" xfId="0" applyFont="1" applyFill="1" applyBorder="1" applyAlignment="1">
      <alignment horizontal="left"/>
    </xf>
    <xf numFmtId="0" fontId="5" fillId="10" borderId="0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12" borderId="5" xfId="0" applyFont="1" applyFill="1" applyBorder="1" applyAlignment="1">
      <alignment horizontal="left"/>
    </xf>
    <xf numFmtId="0" fontId="3" fillId="6" borderId="23" xfId="4" applyBorder="1" applyAlignment="1">
      <alignment horizontal="center"/>
    </xf>
    <xf numFmtId="0" fontId="3" fillId="6" borderId="24" xfId="4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67" fontId="7" fillId="0" borderId="13" xfId="0" applyNumberFormat="1" applyFont="1" applyBorder="1" applyAlignment="1">
      <alignment horizontal="center"/>
    </xf>
    <xf numFmtId="167" fontId="7" fillId="0" borderId="14" xfId="0" applyNumberFormat="1" applyFont="1" applyBorder="1" applyAlignment="1">
      <alignment horizontal="center"/>
    </xf>
    <xf numFmtId="167" fontId="7" fillId="0" borderId="15" xfId="0" applyNumberFormat="1" applyFont="1" applyBorder="1" applyAlignment="1">
      <alignment horizontal="center"/>
    </xf>
    <xf numFmtId="0" fontId="14" fillId="12" borderId="0" xfId="0" applyFont="1" applyFill="1" applyBorder="1" applyAlignment="1">
      <alignment horizontal="center"/>
    </xf>
    <xf numFmtId="0" fontId="14" fillId="12" borderId="5" xfId="0" applyFont="1" applyFill="1" applyBorder="1" applyAlignment="1">
      <alignment horizontal="center"/>
    </xf>
    <xf numFmtId="0" fontId="7" fillId="11" borderId="13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6" fillId="11" borderId="14" xfId="0" applyFont="1" applyFill="1" applyBorder="1" applyAlignment="1">
      <alignment horizontal="center"/>
    </xf>
    <xf numFmtId="167" fontId="7" fillId="11" borderId="13" xfId="0" applyNumberFormat="1" applyFont="1" applyFill="1" applyBorder="1" applyAlignment="1">
      <alignment horizontal="center"/>
    </xf>
    <xf numFmtId="167" fontId="7" fillId="11" borderId="14" xfId="0" applyNumberFormat="1" applyFont="1" applyFill="1" applyBorder="1" applyAlignment="1">
      <alignment horizontal="center"/>
    </xf>
    <xf numFmtId="167" fontId="7" fillId="11" borderId="15" xfId="0" applyNumberFormat="1" applyFont="1" applyFill="1" applyBorder="1" applyAlignment="1">
      <alignment horizontal="center"/>
    </xf>
    <xf numFmtId="0" fontId="5" fillId="10" borderId="0" xfId="0" applyFont="1" applyFill="1" applyBorder="1" applyAlignment="1">
      <alignment horizontal="left"/>
    </xf>
    <xf numFmtId="0" fontId="5" fillId="10" borderId="5" xfId="0" applyFont="1" applyFill="1" applyBorder="1" applyAlignment="1">
      <alignment horizontal="left"/>
    </xf>
    <xf numFmtId="0" fontId="5" fillId="10" borderId="3" xfId="0" applyFont="1" applyFill="1" applyBorder="1" applyAlignment="1">
      <alignment horizontal="left"/>
    </xf>
    <xf numFmtId="0" fontId="5" fillId="10" borderId="6" xfId="0" applyFont="1" applyFill="1" applyBorder="1" applyAlignment="1">
      <alignment horizontal="left"/>
    </xf>
    <xf numFmtId="0" fontId="9" fillId="0" borderId="0" xfId="0" applyFont="1" applyFill="1"/>
    <xf numFmtId="0" fontId="24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167" fontId="24" fillId="0" borderId="0" xfId="0" applyNumberFormat="1" applyFont="1" applyFill="1" applyBorder="1" applyAlignment="1">
      <alignment horizontal="center"/>
    </xf>
    <xf numFmtId="0" fontId="22" fillId="11" borderId="13" xfId="0" applyFont="1" applyFill="1" applyBorder="1" applyAlignment="1">
      <alignment horizontal="center"/>
    </xf>
    <xf numFmtId="0" fontId="22" fillId="11" borderId="14" xfId="0" applyFont="1" applyFill="1" applyBorder="1" applyAlignment="1">
      <alignment horizontal="center"/>
    </xf>
    <xf numFmtId="0" fontId="22" fillId="11" borderId="8" xfId="0" applyFont="1" applyFill="1" applyBorder="1" applyAlignment="1">
      <alignment horizontal="center"/>
    </xf>
    <xf numFmtId="14" fontId="6" fillId="11" borderId="38" xfId="0" applyNumberFormat="1" applyFont="1" applyFill="1" applyBorder="1" applyAlignment="1">
      <alignment horizontal="right" indent="1"/>
    </xf>
    <xf numFmtId="14" fontId="6" fillId="11" borderId="14" xfId="0" applyNumberFormat="1" applyFont="1" applyFill="1" applyBorder="1" applyAlignment="1">
      <alignment horizontal="right" indent="1"/>
    </xf>
    <xf numFmtId="14" fontId="6" fillId="11" borderId="15" xfId="0" applyNumberFormat="1" applyFont="1" applyFill="1" applyBorder="1" applyAlignment="1">
      <alignment horizontal="right" indent="1"/>
    </xf>
    <xf numFmtId="0" fontId="22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170" fontId="6" fillId="0" borderId="2" xfId="0" applyNumberFormat="1" applyFont="1" applyFill="1" applyBorder="1" applyAlignment="1">
      <alignment horizontal="right" indent="1"/>
    </xf>
    <xf numFmtId="0" fontId="6" fillId="11" borderId="13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11" borderId="15" xfId="0" applyFont="1" applyFill="1" applyBorder="1" applyAlignment="1">
      <alignment horizontal="center"/>
    </xf>
    <xf numFmtId="166" fontId="6" fillId="11" borderId="14" xfId="0" applyNumberFormat="1" applyFont="1" applyFill="1" applyBorder="1" applyAlignment="1">
      <alignment horizontal="center"/>
    </xf>
    <xf numFmtId="166" fontId="6" fillId="11" borderId="15" xfId="0" applyNumberFormat="1" applyFont="1" applyFill="1" applyBorder="1" applyAlignment="1">
      <alignment horizontal="center"/>
    </xf>
  </cellXfs>
  <cellStyles count="7">
    <cellStyle name="Accent1" xfId="5" builtinId="29"/>
    <cellStyle name="Bad" xfId="2" builtinId="27"/>
    <cellStyle name="Calculation" xfId="3" builtinId="22"/>
    <cellStyle name="Check Cell" xfId="4" builtinId="23"/>
    <cellStyle name="Good" xfId="1" builtinId="26"/>
    <cellStyle name="Normal" xfId="0" builtinId="0"/>
    <cellStyle name="Percent" xfId="6" builtinId="5"/>
  </cellStyles>
  <dxfs count="0"/>
  <tableStyles count="0" defaultTableStyle="TableStyleMedium2" defaultPivotStyle="PivotStyleLight16"/>
  <colors>
    <mruColors>
      <color rgb="FF33CC33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20DD1B9E-87C4-11D1-8BE3-0000F8754DA1}" ax:license="651A8940-87C5-11d1-8BE3-0000F8754DA1" ax:persistence="persistPropertyBag">
  <ax:ocxPr ax:name="_ExtentX" ax:value="159"/>
  <ax:ocxPr ax:name="_ExtentY" ax:value="53"/>
  <ax:ocxPr ax:name="_Version" ax:value="393216"/>
  <ax:ocxPr ax:name="Font">
    <ax:font ax:persistence="persistPropertyBag">
      <ax:ocxPr ax:name="Name" ax:value="Calibri"/>
      <ax:ocxPr ax:name="Size" ax:value="11.2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Format" ax:value="208732161"/>
  <ax:ocxPr ax:name="CurrentDate" ax:value="41547"/>
</ax:ocx>
</file>

<file path=xl/activeX/activeX2.xml><?xml version="1.0" encoding="utf-8"?>
<ax:ocx xmlns:ax="http://schemas.microsoft.com/office/2006/activeX" xmlns:r="http://schemas.openxmlformats.org/officeDocument/2006/relationships" ax:classid="{20DD1B9E-87C4-11D1-8BE3-0000F8754DA1}" ax:license="651A8940-87C5-11d1-8BE3-0000F8754DA1" ax:persistence="persistPropertyBag">
  <ax:ocxPr ax:name="_ExtentX" ax:value="132"/>
  <ax:ocxPr ax:name="_ExtentY" ax:value="53"/>
  <ax:ocxPr ax:name="_Version" ax:value="393216"/>
  <ax:ocxPr ax:name="Font">
    <ax:font ax:persistence="persistPropertyBag">
      <ax:ocxPr ax:name="Name" ax:value="Calibri"/>
      <ax:ocxPr ax:name="Size" ax:value="11.2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Format" ax:value="208732161"/>
  <ax:ocxPr ax:name="CurrentDate" ax:value="41547"/>
</ax:ocx>
</file>

<file path=xl/activeX/activeX3.xml><?xml version="1.0" encoding="utf-8"?>
<ax:ocx xmlns:ax="http://schemas.microsoft.com/office/2006/activeX" xmlns:r="http://schemas.openxmlformats.org/officeDocument/2006/relationships" ax:classid="{EAE50EB0-4A62-11CE-BED6-00AA00611080}" ax:persistence="persistStreamInit" r:id="rId1"/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CNC-01 '!$B$15:$B$18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</c:spPr>
          </c:dPt>
          <c:dPt>
            <c:idx val="1"/>
            <c:bubble3D val="0"/>
            <c:spPr>
              <a:solidFill>
                <a:srgbClr val="33CC33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solidFill>
                <a:srgbClr val="FF0000"/>
              </a:solidFill>
            </c:spPr>
          </c:dPt>
          <c:dPt>
            <c:idx val="3"/>
            <c:bubble3D val="0"/>
            <c:spPr>
              <a:solidFill>
                <a:srgbClr val="00B0F0"/>
              </a:solidFill>
            </c:spPr>
          </c:dPt>
          <c:val>
            <c:numRef>
              <c:f>'Daily - CNC-01 '!$D$15:$D$18</c:f>
              <c:numCache>
                <c:formatCode>h:mm:ss;@</c:formatCode>
                <c:ptCount val="4"/>
                <c:pt idx="0">
                  <c:v>6.6550925925925927E-3</c:v>
                </c:pt>
                <c:pt idx="1">
                  <c:v>0.24000000000000002</c:v>
                </c:pt>
                <c:pt idx="2">
                  <c:v>6.0000000000000005E-2</c:v>
                </c:pt>
                <c:pt idx="3">
                  <c:v>2.6666666666666668E-2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view3D>
      <c:rotX val="50"/>
      <c:rotY val="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CNC-01 '!$B$29:$B$32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0"/>
              </a:lightRig>
            </a:scene3d>
            <a:sp3d prstMaterial="dkEdge">
              <a:bevelT w="63500" h="25400" prst="coolSlant"/>
              <a:bevelB/>
            </a:sp3d>
          </c:spPr>
          <c:dPt>
            <c:idx val="0"/>
            <c:bubble3D val="0"/>
            <c:spPr>
              <a:solidFill>
                <a:srgbClr val="FFFF00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dPt>
            <c:idx val="1"/>
            <c:bubble3D val="0"/>
            <c:spPr>
              <a:solidFill>
                <a:srgbClr val="33CC33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dPt>
            <c:idx val="2"/>
            <c:bubble3D val="0"/>
            <c:spPr>
              <a:solidFill>
                <a:srgbClr val="FF0000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dPt>
            <c:idx val="3"/>
            <c:bubble3D val="0"/>
            <c:spPr>
              <a:solidFill>
                <a:srgbClr val="00B0F0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val>
            <c:numRef>
              <c:f>'Daily - CNC-01 '!$D$29:$D$32</c:f>
              <c:numCache>
                <c:formatCode>h:mm:ss;@</c:formatCode>
                <c:ptCount val="4"/>
                <c:pt idx="0">
                  <c:v>0.04</c:v>
                </c:pt>
                <c:pt idx="1">
                  <c:v>0.21666666666666667</c:v>
                </c:pt>
                <c:pt idx="2">
                  <c:v>4.6666666666666669E-2</c:v>
                </c:pt>
                <c:pt idx="3">
                  <c:v>3.0000000000000002E-2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scene3d>
          <a:camera prst="orthographicFront"/>
          <a:lightRig rig="threePt" dir="t"/>
        </a:scene3d>
        <a:sp3d prstMaterial="dkEdge"/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CNC-01 '!$B$43:$B$46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spPr>
            <a:solidFill>
              <a:srgbClr val="99FF99"/>
            </a:solidFill>
            <a:ln>
              <a:solidFill>
                <a:schemeClr val="accent3">
                  <a:lumMod val="75000"/>
                </a:schemeClr>
              </a:solidFill>
            </a:ln>
          </c:spPr>
          <c:dPt>
            <c:idx val="0"/>
            <c:bubble3D val="0"/>
            <c:spPr>
              <a:solidFill>
                <a:srgbClr val="FFFF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1"/>
            <c:bubble3D val="0"/>
            <c:spPr>
              <a:solidFill>
                <a:srgbClr val="33CC33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3"/>
            <c:bubble3D val="0"/>
            <c:spPr>
              <a:solidFill>
                <a:srgbClr val="00B0F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val>
            <c:numRef>
              <c:f>'Daily - CNC-01 '!$D$43:$D$46</c:f>
              <c:numCache>
                <c:formatCode>h:mm:ss;@</c:formatCode>
                <c:ptCount val="4"/>
                <c:pt idx="0">
                  <c:v>2.9282407407407412E-3</c:v>
                </c:pt>
                <c:pt idx="1">
                  <c:v>0.27999999999999997</c:v>
                </c:pt>
                <c:pt idx="2">
                  <c:v>5.0393518518518511E-2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CNC-02'!$B$15:$B$18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</c:spPr>
          </c:dPt>
          <c:dPt>
            <c:idx val="1"/>
            <c:bubble3D val="0"/>
            <c:spPr>
              <a:solidFill>
                <a:srgbClr val="33CC33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solidFill>
                <a:srgbClr val="FF0000"/>
              </a:solidFill>
            </c:spPr>
          </c:dPt>
          <c:dPt>
            <c:idx val="3"/>
            <c:bubble3D val="0"/>
            <c:spPr>
              <a:solidFill>
                <a:srgbClr val="00B0F0"/>
              </a:solidFill>
            </c:spPr>
          </c:dPt>
          <c:val>
            <c:numRef>
              <c:f>'Daily - CNC-02'!$D$15:$D$18</c:f>
              <c:numCache>
                <c:formatCode>h:mm:ss;@</c:formatCode>
                <c:ptCount val="4"/>
                <c:pt idx="0">
                  <c:v>0.08</c:v>
                </c:pt>
                <c:pt idx="1">
                  <c:v>0.13333333333333333</c:v>
                </c:pt>
                <c:pt idx="2">
                  <c:v>8.9999999999999983E-2</c:v>
                </c:pt>
                <c:pt idx="3">
                  <c:v>3.0000000000000002E-2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view3D>
      <c:rotX val="50"/>
      <c:rotY val="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CNC-02'!$B$29:$B$32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0"/>
              </a:lightRig>
            </a:scene3d>
            <a:sp3d prstMaterial="dkEdge">
              <a:bevelT w="63500" h="25400" prst="coolSlant"/>
              <a:bevelB/>
            </a:sp3d>
          </c:spPr>
          <c:dPt>
            <c:idx val="0"/>
            <c:bubble3D val="0"/>
            <c:spPr>
              <a:solidFill>
                <a:srgbClr val="FFFF00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dPt>
            <c:idx val="1"/>
            <c:bubble3D val="0"/>
            <c:spPr>
              <a:solidFill>
                <a:srgbClr val="33CC33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dPt>
            <c:idx val="2"/>
            <c:bubble3D val="0"/>
            <c:spPr>
              <a:solidFill>
                <a:srgbClr val="FF0000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dPt>
            <c:idx val="3"/>
            <c:bubble3D val="0"/>
            <c:spPr>
              <a:solidFill>
                <a:srgbClr val="00B0F0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val>
            <c:numRef>
              <c:f>'Daily - CNC-02'!$D$29:$D$32</c:f>
              <c:numCache>
                <c:formatCode>h:mm:ss;@</c:formatCode>
                <c:ptCount val="4"/>
                <c:pt idx="0">
                  <c:v>0.3066666666666667</c:v>
                </c:pt>
                <c:pt idx="1">
                  <c:v>0</c:v>
                </c:pt>
                <c:pt idx="2">
                  <c:v>2.6666666666666668E-2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scene3d>
          <a:camera prst="orthographicFront"/>
          <a:lightRig rig="threePt" dir="t"/>
        </a:scene3d>
        <a:sp3d prstMaterial="dkEdge"/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CNC-02'!$B$43:$B$46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spPr>
            <a:solidFill>
              <a:srgbClr val="99FF99"/>
            </a:solidFill>
            <a:ln>
              <a:solidFill>
                <a:schemeClr val="accent3">
                  <a:lumMod val="75000"/>
                </a:schemeClr>
              </a:solidFill>
            </a:ln>
          </c:spPr>
          <c:dPt>
            <c:idx val="0"/>
            <c:bubble3D val="0"/>
            <c:spPr>
              <a:solidFill>
                <a:srgbClr val="FFFF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1"/>
            <c:bubble3D val="0"/>
            <c:spPr>
              <a:solidFill>
                <a:srgbClr val="33CC33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3"/>
            <c:bubble3D val="0"/>
            <c:spPr>
              <a:solidFill>
                <a:srgbClr val="00B0F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val>
            <c:numRef>
              <c:f>'Daily - CNC-02'!$D$43:$D$46</c:f>
              <c:numCache>
                <c:formatCode>h:mm:ss;@</c:formatCode>
                <c:ptCount val="4"/>
                <c:pt idx="0">
                  <c:v>0.01</c:v>
                </c:pt>
                <c:pt idx="1">
                  <c:v>0.26333333333333331</c:v>
                </c:pt>
                <c:pt idx="2">
                  <c:v>3.0000000000000002E-2</c:v>
                </c:pt>
                <c:pt idx="3">
                  <c:v>3.0000000000000002E-2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CNC-03'!$B$15:$B$18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</c:spPr>
          </c:dPt>
          <c:dPt>
            <c:idx val="1"/>
            <c:bubble3D val="0"/>
            <c:spPr>
              <a:solidFill>
                <a:srgbClr val="33CC33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solidFill>
                <a:srgbClr val="FF0000"/>
              </a:solidFill>
            </c:spPr>
          </c:dPt>
          <c:dPt>
            <c:idx val="3"/>
            <c:bubble3D val="0"/>
            <c:spPr>
              <a:solidFill>
                <a:srgbClr val="00B0F0"/>
              </a:solidFill>
            </c:spPr>
          </c:dPt>
          <c:val>
            <c:numRef>
              <c:f>'Daily - CNC-03'!$D$15:$D$18</c:f>
              <c:numCache>
                <c:formatCode>h:mm:ss;@</c:formatCode>
                <c:ptCount val="4"/>
                <c:pt idx="0">
                  <c:v>2.3333333333333334E-2</c:v>
                </c:pt>
                <c:pt idx="1">
                  <c:v>0.21333333333333335</c:v>
                </c:pt>
                <c:pt idx="2">
                  <c:v>4.9999999999999996E-2</c:v>
                </c:pt>
                <c:pt idx="3">
                  <c:v>4.6666666666666669E-2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view3D>
      <c:rotX val="50"/>
      <c:rotY val="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CNC-03'!$B$29:$B$32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0"/>
              </a:lightRig>
            </a:scene3d>
            <a:sp3d prstMaterial="dkEdge">
              <a:bevelT w="63500" h="25400" prst="coolSlant"/>
              <a:bevelB/>
            </a:sp3d>
          </c:spPr>
          <c:dPt>
            <c:idx val="0"/>
            <c:bubble3D val="0"/>
            <c:spPr>
              <a:solidFill>
                <a:srgbClr val="FFFF00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dPt>
            <c:idx val="1"/>
            <c:bubble3D val="0"/>
            <c:spPr>
              <a:solidFill>
                <a:srgbClr val="33CC33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dPt>
            <c:idx val="2"/>
            <c:bubble3D val="0"/>
            <c:spPr>
              <a:solidFill>
                <a:srgbClr val="FF0000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dPt>
            <c:idx val="3"/>
            <c:bubble3D val="0"/>
            <c:spPr>
              <a:solidFill>
                <a:srgbClr val="00B0F0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val>
            <c:numRef>
              <c:f>'Daily - CNC-03'!$D$29:$D$32</c:f>
              <c:numCache>
                <c:formatCode>h:mm:ss;@</c:formatCode>
                <c:ptCount val="4"/>
                <c:pt idx="0">
                  <c:v>4.3333333333333335E-2</c:v>
                </c:pt>
                <c:pt idx="1">
                  <c:v>0.19333333333333333</c:v>
                </c:pt>
                <c:pt idx="2">
                  <c:v>6.6666666666666666E-2</c:v>
                </c:pt>
                <c:pt idx="3">
                  <c:v>3.0000000000000002E-2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scene3d>
          <a:camera prst="orthographicFront"/>
          <a:lightRig rig="threePt" dir="t"/>
        </a:scene3d>
        <a:sp3d prstMaterial="dkEdge"/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CNC-03'!$B$43:$B$46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spPr>
            <a:solidFill>
              <a:srgbClr val="99FF99"/>
            </a:solidFill>
            <a:ln>
              <a:solidFill>
                <a:schemeClr val="accent3">
                  <a:lumMod val="75000"/>
                </a:schemeClr>
              </a:solidFill>
            </a:ln>
          </c:spPr>
          <c:dPt>
            <c:idx val="0"/>
            <c:bubble3D val="0"/>
            <c:spPr>
              <a:solidFill>
                <a:srgbClr val="FFFF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1"/>
            <c:bubble3D val="0"/>
            <c:spPr>
              <a:solidFill>
                <a:srgbClr val="33CC33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3"/>
            <c:bubble3D val="0"/>
            <c:spPr>
              <a:solidFill>
                <a:srgbClr val="00B0F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val>
            <c:numRef>
              <c:f>'Daily - CNC-03'!$D$43:$D$46</c:f>
              <c:numCache>
                <c:formatCode>h:mm:ss;@</c:formatCode>
                <c:ptCount val="4"/>
                <c:pt idx="0">
                  <c:v>4.2256944444444444E-2</c:v>
                </c:pt>
                <c:pt idx="1">
                  <c:v>0.25999999999999995</c:v>
                </c:pt>
                <c:pt idx="2">
                  <c:v>3.1064814814814812E-2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AUTOCLAVE'!$B$15:$B$18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</c:spPr>
          </c:dPt>
          <c:dPt>
            <c:idx val="1"/>
            <c:bubble3D val="0"/>
            <c:spPr>
              <a:solidFill>
                <a:srgbClr val="33CC33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solidFill>
                <a:srgbClr val="FF0000"/>
              </a:solidFill>
            </c:spPr>
          </c:dPt>
          <c:dPt>
            <c:idx val="3"/>
            <c:bubble3D val="0"/>
            <c:spPr>
              <a:solidFill>
                <a:srgbClr val="00B0F0"/>
              </a:solidFill>
            </c:spPr>
          </c:dPt>
          <c:val>
            <c:numRef>
              <c:f>'Daily - AUTOCLAVE'!$D$15:$D$18</c:f>
              <c:numCache>
                <c:formatCode>h:mm:ss;@</c:formatCode>
                <c:ptCount val="4"/>
                <c:pt idx="0">
                  <c:v>2.3333333333333334E-2</c:v>
                </c:pt>
                <c:pt idx="1">
                  <c:v>0.25333333333333335</c:v>
                </c:pt>
                <c:pt idx="2">
                  <c:v>0.01</c:v>
                </c:pt>
                <c:pt idx="3">
                  <c:v>4.6666666666666669E-2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view3D>
      <c:rotX val="50"/>
      <c:rotY val="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AUTOCLAVE'!$B$29:$B$32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0"/>
              </a:lightRig>
            </a:scene3d>
            <a:sp3d prstMaterial="dkEdge">
              <a:bevelT w="63500" h="25400" prst="coolSlant"/>
              <a:bevelB/>
            </a:sp3d>
          </c:spPr>
          <c:dPt>
            <c:idx val="0"/>
            <c:bubble3D val="0"/>
            <c:spPr>
              <a:solidFill>
                <a:srgbClr val="FFFF00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dPt>
            <c:idx val="1"/>
            <c:bubble3D val="0"/>
            <c:spPr>
              <a:solidFill>
                <a:srgbClr val="33CC33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dPt>
            <c:idx val="2"/>
            <c:bubble3D val="0"/>
            <c:spPr>
              <a:solidFill>
                <a:srgbClr val="FF0000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dPt>
            <c:idx val="3"/>
            <c:bubble3D val="0"/>
            <c:spPr>
              <a:solidFill>
                <a:srgbClr val="00B0F0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val>
            <c:numRef>
              <c:f>'Daily - AUTOCLAVE'!$D$29:$D$32</c:f>
              <c:numCache>
                <c:formatCode>h:mm:ss;@</c:formatCode>
                <c:ptCount val="4"/>
                <c:pt idx="0">
                  <c:v>0</c:v>
                </c:pt>
                <c:pt idx="1">
                  <c:v>0.33333333333333331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scene3d>
          <a:camera prst="orthographicFront"/>
          <a:lightRig rig="threePt" dir="t"/>
        </a:scene3d>
        <a:sp3d prstMaterial="dkEdge"/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AUTOCLAVE'!$B$43:$B$46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spPr>
            <a:solidFill>
              <a:srgbClr val="99FF99"/>
            </a:solidFill>
            <a:ln>
              <a:solidFill>
                <a:schemeClr val="accent3">
                  <a:lumMod val="75000"/>
                </a:schemeClr>
              </a:solidFill>
            </a:ln>
          </c:spPr>
          <c:dPt>
            <c:idx val="0"/>
            <c:bubble3D val="0"/>
            <c:spPr>
              <a:solidFill>
                <a:srgbClr val="FFFF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1"/>
            <c:bubble3D val="0"/>
            <c:spPr>
              <a:solidFill>
                <a:srgbClr val="33CC33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3"/>
            <c:bubble3D val="0"/>
            <c:spPr>
              <a:solidFill>
                <a:srgbClr val="00B0F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val>
            <c:numRef>
              <c:f>'Daily - AUTOCLAVE'!$D$43:$D$46</c:f>
              <c:numCache>
                <c:formatCode>h:mm:ss;@</c:formatCode>
                <c:ptCount val="4"/>
                <c:pt idx="0">
                  <c:v>0.24000000000000002</c:v>
                </c:pt>
                <c:pt idx="1">
                  <c:v>5.3333333333333337E-2</c:v>
                </c:pt>
                <c:pt idx="2">
                  <c:v>0.04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OVEN 101'!$B$15:$B$18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</c:spPr>
          </c:dPt>
          <c:dPt>
            <c:idx val="1"/>
            <c:bubble3D val="0"/>
            <c:spPr>
              <a:solidFill>
                <a:srgbClr val="33CC33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solidFill>
                <a:srgbClr val="FF0000"/>
              </a:solidFill>
            </c:spPr>
          </c:dPt>
          <c:dPt>
            <c:idx val="3"/>
            <c:bubble3D val="0"/>
            <c:spPr>
              <a:solidFill>
                <a:srgbClr val="00B0F0"/>
              </a:solidFill>
            </c:spPr>
          </c:dPt>
          <c:val>
            <c:numRef>
              <c:f>'Daily - OVEN 101'!$D$15:$D$18</c:f>
              <c:numCache>
                <c:formatCode>h:mm:ss;@</c:formatCode>
                <c:ptCount val="4"/>
                <c:pt idx="0">
                  <c:v>0.15</c:v>
                </c:pt>
                <c:pt idx="1">
                  <c:v>8.666666666666667E-2</c:v>
                </c:pt>
                <c:pt idx="2">
                  <c:v>9.6666666666666665E-2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view3D>
      <c:rotX val="50"/>
      <c:rotY val="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OVEN 101'!$B$29:$B$32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0"/>
              </a:lightRig>
            </a:scene3d>
            <a:sp3d prstMaterial="dkEdge">
              <a:bevelT w="63500" h="25400" prst="coolSlant"/>
              <a:bevelB/>
            </a:sp3d>
          </c:spPr>
          <c:dPt>
            <c:idx val="0"/>
            <c:bubble3D val="0"/>
            <c:spPr>
              <a:solidFill>
                <a:srgbClr val="FFFF00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dPt>
            <c:idx val="1"/>
            <c:bubble3D val="0"/>
            <c:spPr>
              <a:solidFill>
                <a:srgbClr val="33CC33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dPt>
            <c:idx val="2"/>
            <c:bubble3D val="0"/>
            <c:spPr>
              <a:solidFill>
                <a:srgbClr val="FF0000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dPt>
            <c:idx val="3"/>
            <c:bubble3D val="0"/>
            <c:spPr>
              <a:solidFill>
                <a:srgbClr val="00B0F0"/>
              </a:solidFill>
              <a:scene3d>
                <a:camera prst="orthographicFront"/>
                <a:lightRig rig="threePt" dir="t">
                  <a:rot lat="0" lon="0" rev="0"/>
                </a:lightRig>
              </a:scene3d>
              <a:sp3d prstMaterial="dkEdge">
                <a:bevelT w="63500" h="25400" prst="coolSlant"/>
                <a:bevelB/>
              </a:sp3d>
            </c:spPr>
          </c:dPt>
          <c:val>
            <c:numRef>
              <c:f>'Daily - OVEN 101'!$D$29:$D$32</c:f>
              <c:numCache>
                <c:formatCode>h:mm:ss;@</c:formatCode>
                <c:ptCount val="4"/>
                <c:pt idx="0">
                  <c:v>8.666666666666667E-2</c:v>
                </c:pt>
                <c:pt idx="1">
                  <c:v>0.19333333333333333</c:v>
                </c:pt>
                <c:pt idx="2">
                  <c:v>5.3333333333333337E-2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scene3d>
          <a:camera prst="orthographicFront"/>
          <a:lightRig rig="threePt" dir="t"/>
        </a:scene3d>
        <a:sp3d prstMaterial="dkEdge"/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OVEN 101'!$B$43:$B$46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spPr>
            <a:solidFill>
              <a:srgbClr val="99FF99"/>
            </a:solidFill>
            <a:ln>
              <a:solidFill>
                <a:schemeClr val="accent3">
                  <a:lumMod val="75000"/>
                </a:schemeClr>
              </a:solidFill>
            </a:ln>
          </c:spPr>
          <c:dPt>
            <c:idx val="0"/>
            <c:bubble3D val="0"/>
            <c:spPr>
              <a:solidFill>
                <a:srgbClr val="FFFF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1"/>
            <c:bubble3D val="0"/>
            <c:spPr>
              <a:solidFill>
                <a:srgbClr val="33CC33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3"/>
            <c:bubble3D val="0"/>
            <c:spPr>
              <a:solidFill>
                <a:srgbClr val="00B0F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val>
            <c:numRef>
              <c:f>'Daily - OVEN 101'!$D$43:$D$46</c:f>
              <c:numCache>
                <c:formatCode>h:mm:ss;@</c:formatCode>
                <c:ptCount val="4"/>
                <c:pt idx="0">
                  <c:v>6.9999999999999993E-2</c:v>
                </c:pt>
                <c:pt idx="1">
                  <c:v>0.25999999999999995</c:v>
                </c:pt>
                <c:pt idx="2">
                  <c:v>3.3333333333333335E-3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HCN'!$B$14:$B$17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spPr>
            <a:solidFill>
              <a:srgbClr val="99FF99"/>
            </a:solidFill>
            <a:ln>
              <a:solidFill>
                <a:schemeClr val="accent3">
                  <a:lumMod val="75000"/>
                </a:schemeClr>
              </a:solidFill>
            </a:ln>
          </c:spPr>
          <c:dPt>
            <c:idx val="0"/>
            <c:bubble3D val="0"/>
            <c:spPr>
              <a:solidFill>
                <a:srgbClr val="FFFF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1"/>
            <c:bubble3D val="0"/>
            <c:spPr>
              <a:solidFill>
                <a:srgbClr val="33CC33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3"/>
            <c:bubble3D val="0"/>
            <c:spPr>
              <a:solidFill>
                <a:srgbClr val="00B0F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val>
            <c:numRef>
              <c:f>'Daily - HCN'!$D$14:$D$17</c:f>
              <c:numCache>
                <c:formatCode>h:mm:ss;@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1.6666666666666666E-2</c:v>
                </c:pt>
                <c:pt idx="3">
                  <c:v>1.6666666666666666E-2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HCN'!$B$28:$B$31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dPt>
            <c:idx val="0"/>
            <c:bubble3D val="0"/>
            <c:spPr>
              <a:solidFill>
                <a:srgbClr val="FFFF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1"/>
            <c:bubble3D val="0"/>
            <c:spPr>
              <a:solidFill>
                <a:srgbClr val="33CC33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3"/>
            <c:bubble3D val="0"/>
            <c:spPr>
              <a:solidFill>
                <a:srgbClr val="00B0F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val>
            <c:numRef>
              <c:f>'Daily - HCN'!$D$28:$D$31</c:f>
              <c:numCache>
                <c:formatCode>h:mm:ss;@</c:formatCode>
                <c:ptCount val="4"/>
                <c:pt idx="0">
                  <c:v>4.3333333333333335E-2</c:v>
                </c:pt>
                <c:pt idx="1">
                  <c:v>0.19333333333333333</c:v>
                </c:pt>
                <c:pt idx="2">
                  <c:v>6.6666666666666666E-2</c:v>
                </c:pt>
                <c:pt idx="3">
                  <c:v>3.0000000000000002E-2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HCN'!$B$42:$B$45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spPr>
            <a:solidFill>
              <a:srgbClr val="99FF99"/>
            </a:solidFill>
            <a:ln>
              <a:solidFill>
                <a:schemeClr val="accent3">
                  <a:lumMod val="75000"/>
                </a:schemeClr>
              </a:solidFill>
            </a:ln>
          </c:spPr>
          <c:dPt>
            <c:idx val="0"/>
            <c:bubble3D val="0"/>
            <c:spPr>
              <a:solidFill>
                <a:srgbClr val="FFFF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1"/>
            <c:bubble3D val="0"/>
            <c:spPr>
              <a:solidFill>
                <a:srgbClr val="33CC33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3"/>
            <c:bubble3D val="0"/>
            <c:spPr>
              <a:solidFill>
                <a:srgbClr val="00B0F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val>
            <c:numRef>
              <c:f>'Daily - HCN'!$D$42:$D$45</c:f>
              <c:numCache>
                <c:formatCode>h:mm:ss;@</c:formatCode>
                <c:ptCount val="4"/>
                <c:pt idx="0">
                  <c:v>1.5833333333333335E-2</c:v>
                </c:pt>
                <c:pt idx="1">
                  <c:v>0.18208333333333335</c:v>
                </c:pt>
                <c:pt idx="2">
                  <c:v>3.1666666666666669E-2</c:v>
                </c:pt>
                <c:pt idx="3">
                  <c:v>3.4305555555555554E-2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NCT'!$B$14:$B$17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spPr>
            <a:solidFill>
              <a:srgbClr val="99FF99"/>
            </a:solidFill>
            <a:ln>
              <a:solidFill>
                <a:schemeClr val="accent3">
                  <a:lumMod val="75000"/>
                </a:schemeClr>
              </a:solidFill>
            </a:ln>
          </c:spPr>
          <c:dPt>
            <c:idx val="0"/>
            <c:bubble3D val="0"/>
            <c:spPr>
              <a:solidFill>
                <a:srgbClr val="FFFF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1"/>
            <c:bubble3D val="0"/>
            <c:spPr>
              <a:solidFill>
                <a:srgbClr val="33CC33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3"/>
            <c:bubble3D val="0"/>
            <c:spPr>
              <a:solidFill>
                <a:srgbClr val="00B0F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val>
            <c:numRef>
              <c:f>'Daily - NCT'!$D$14:$D$17</c:f>
              <c:numCache>
                <c:formatCode>h:mm:ss;@</c:formatCode>
                <c:ptCount val="4"/>
                <c:pt idx="0">
                  <c:v>0.01</c:v>
                </c:pt>
                <c:pt idx="1">
                  <c:v>0.25333333333333335</c:v>
                </c:pt>
                <c:pt idx="2">
                  <c:v>3.3333333333333333E-2</c:v>
                </c:pt>
                <c:pt idx="3">
                  <c:v>3.6666666666666667E-2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0"/>
    </c:view3D>
    <c:floor>
      <c:thickness val="0"/>
    </c:floor>
    <c:sideWall>
      <c:thickness val="0"/>
      <c:spPr>
        <a:ln>
          <a:noFill/>
        </a:ln>
      </c:spPr>
    </c:sideWall>
    <c:backWall>
      <c:thickness val="0"/>
      <c:spPr>
        <a:ln>
          <a:noFill/>
        </a:ln>
      </c:spPr>
    </c:backWall>
    <c:plotArea>
      <c:layout/>
      <c:pie3DChart>
        <c:varyColors val="1"/>
        <c:ser>
          <c:idx val="0"/>
          <c:order val="0"/>
          <c:tx>
            <c:strRef>
              <c:f>'Daily - NCT'!$B$28:$B$31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dPt>
            <c:idx val="0"/>
            <c:bubble3D val="0"/>
            <c:spPr>
              <a:solidFill>
                <a:srgbClr val="FFFF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1"/>
            <c:bubble3D val="0"/>
            <c:spPr>
              <a:solidFill>
                <a:srgbClr val="33CC33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3"/>
            <c:bubble3D val="0"/>
            <c:spPr>
              <a:solidFill>
                <a:srgbClr val="00B0F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val>
            <c:numRef>
              <c:f>'Daily - NCT'!$D$28:$D$31</c:f>
              <c:numCache>
                <c:formatCode>h:mm:ss;@</c:formatCode>
                <c:ptCount val="4"/>
                <c:pt idx="0">
                  <c:v>3.3333333333333333E-2</c:v>
                </c:pt>
                <c:pt idx="1">
                  <c:v>0.13333333333333333</c:v>
                </c:pt>
                <c:pt idx="2">
                  <c:v>8.666666666666667E-2</c:v>
                </c:pt>
                <c:pt idx="3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'Daily - NCT'!$B$42:$B$45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spPr>
            <a:solidFill>
              <a:srgbClr val="99FF99"/>
            </a:solidFill>
            <a:ln>
              <a:solidFill>
                <a:schemeClr val="accent3">
                  <a:lumMod val="75000"/>
                </a:schemeClr>
              </a:solidFill>
            </a:ln>
          </c:spPr>
          <c:dPt>
            <c:idx val="0"/>
            <c:bubble3D val="0"/>
            <c:spPr>
              <a:solidFill>
                <a:srgbClr val="FFFF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1"/>
            <c:bubble3D val="0"/>
            <c:spPr>
              <a:solidFill>
                <a:srgbClr val="33CC33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dPt>
            <c:idx val="3"/>
            <c:bubble3D val="0"/>
            <c:spPr>
              <a:solidFill>
                <a:srgbClr val="00B0F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val>
            <c:numRef>
              <c:f>'Daily - NCT'!$D$42:$D$45</c:f>
              <c:numCache>
                <c:formatCode>h:mm:ss;@</c:formatCode>
                <c:ptCount val="4"/>
                <c:pt idx="0">
                  <c:v>1.6666666666666666E-2</c:v>
                </c:pt>
                <c:pt idx="1">
                  <c:v>0.26666666666666666</c:v>
                </c:pt>
                <c:pt idx="2">
                  <c:v>2.6666666666666668E-2</c:v>
                </c:pt>
                <c:pt idx="3">
                  <c:v>2.3333333333333334E-2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CNC-02</a:t>
            </a:r>
          </a:p>
        </c:rich>
      </c:tx>
      <c:layout>
        <c:manualLayout>
          <c:xMode val="edge"/>
          <c:yMode val="edge"/>
          <c:x val="0.32806875228910021"/>
          <c:y val="0.8574162248720328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393344205186473E-2"/>
          <c:y val="5.8048289614518168E-2"/>
          <c:w val="0.88005693943355323"/>
          <c:h val="0.77478653381122287"/>
        </c:manualLayout>
      </c:layout>
      <c:pie3DChart>
        <c:varyColors val="1"/>
        <c:ser>
          <c:idx val="0"/>
          <c:order val="0"/>
          <c:tx>
            <c:strRef>
              <c:f>'Daily - All'!$F$14:$F$17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rgbClr val="33CC3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dLbl>
              <c:idx val="1"/>
              <c:layout>
                <c:manualLayout>
                  <c:x val="0.20483900001807973"/>
                  <c:y val="-0.2273560344292059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'Daily - All'!$H$14:$H$17</c:f>
              <c:numCache>
                <c:formatCode>0.00%</c:formatCode>
                <c:ptCount val="4"/>
                <c:pt idx="0">
                  <c:v>0.39666666666666667</c:v>
                </c:pt>
                <c:pt idx="1">
                  <c:v>0.39666666666666667</c:v>
                </c:pt>
                <c:pt idx="2">
                  <c:v>0.1466666666666667</c:v>
                </c:pt>
                <c:pt idx="3">
                  <c:v>0.06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AUTOCLAVE</a:t>
            </a:r>
          </a:p>
        </c:rich>
      </c:tx>
      <c:layout>
        <c:manualLayout>
          <c:xMode val="edge"/>
          <c:yMode val="edge"/>
          <c:x val="0.32806875228910021"/>
          <c:y val="0.8574162248720328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393344205186473E-2"/>
          <c:y val="5.8048289614518168E-2"/>
          <c:w val="0.88005693943355323"/>
          <c:h val="0.77478653381122287"/>
        </c:manualLayout>
      </c:layout>
      <c:pie3DChart>
        <c:varyColors val="1"/>
        <c:ser>
          <c:idx val="0"/>
          <c:order val="0"/>
          <c:tx>
            <c:strRef>
              <c:f>'Daily - All'!$F$28:$F$31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rgbClr val="33CC3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dLbl>
              <c:idx val="1"/>
              <c:layout>
                <c:manualLayout>
                  <c:x val="0.22257049718467189"/>
                  <c:y val="-0.2320802113157799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'Daily - All'!$H$28:$H$31</c:f>
              <c:numCache>
                <c:formatCode>0.00%</c:formatCode>
                <c:ptCount val="4"/>
                <c:pt idx="0">
                  <c:v>0.26333333333333336</c:v>
                </c:pt>
                <c:pt idx="1">
                  <c:v>0.64</c:v>
                </c:pt>
                <c:pt idx="2">
                  <c:v>4.9999999999999989E-2</c:v>
                </c:pt>
                <c:pt idx="3">
                  <c:v>4.6666666666666669E-2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CNC-01</a:t>
            </a:r>
          </a:p>
        </c:rich>
      </c:tx>
      <c:layout>
        <c:manualLayout>
          <c:xMode val="edge"/>
          <c:yMode val="edge"/>
          <c:x val="0.32806875228910021"/>
          <c:y val="0.8574162248720328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393344205186473E-2"/>
          <c:y val="5.8048289614518168E-2"/>
          <c:w val="0.88005693943355323"/>
          <c:h val="0.77478653381122287"/>
        </c:manualLayout>
      </c:layout>
      <c:pie3DChart>
        <c:varyColors val="1"/>
        <c:ser>
          <c:idx val="0"/>
          <c:order val="0"/>
          <c:tx>
            <c:strRef>
              <c:f>'Daily - All'!$B$14:$B$17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rgbClr val="33CC3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dLbl>
              <c:idx val="1"/>
              <c:layout>
                <c:manualLayout>
                  <c:x val="-0.28692607670678533"/>
                  <c:y val="-0.2415285650889279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'Daily - All'!$D$14:$D$17</c:f>
              <c:numCache>
                <c:formatCode>0.00%</c:formatCode>
                <c:ptCount val="4"/>
                <c:pt idx="0">
                  <c:v>1.652777777777778E-2</c:v>
                </c:pt>
                <c:pt idx="1">
                  <c:v>0.24555555555555553</c:v>
                </c:pt>
                <c:pt idx="2">
                  <c:v>5.2353395061728397E-2</c:v>
                </c:pt>
                <c:pt idx="3">
                  <c:v>1.8888888888888889E-2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CNC-03</a:t>
            </a:r>
          </a:p>
        </c:rich>
      </c:tx>
      <c:layout>
        <c:manualLayout>
          <c:xMode val="edge"/>
          <c:yMode val="edge"/>
          <c:x val="0.32806875228910021"/>
          <c:y val="0.8574162248720328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393344205186473E-2"/>
          <c:y val="5.8048289614518168E-2"/>
          <c:w val="0.88005693943355323"/>
          <c:h val="0.77478653381122287"/>
        </c:manualLayout>
      </c:layout>
      <c:pie3DChart>
        <c:varyColors val="1"/>
        <c:ser>
          <c:idx val="0"/>
          <c:order val="0"/>
          <c:tx>
            <c:strRef>
              <c:f>'Daily - All'!$B$28:$B$31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rgbClr val="33CC3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dLbl>
              <c:idx val="1"/>
              <c:layout>
                <c:manualLayout>
                  <c:x val="-0.22702715024961817"/>
                  <c:y val="-0.2273560344292059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'Daily - All'!$D$28:$D$31</c:f>
              <c:numCache>
                <c:formatCode>0.00%</c:formatCode>
                <c:ptCount val="4"/>
                <c:pt idx="0">
                  <c:v>0.10893333333333334</c:v>
                </c:pt>
                <c:pt idx="1">
                  <c:v>0.66666666666666663</c:v>
                </c:pt>
                <c:pt idx="2">
                  <c:v>0.1477333333333333</c:v>
                </c:pt>
                <c:pt idx="3" formatCode="0%">
                  <c:v>7.6666666666666675E-2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OVEN-101</a:t>
            </a:r>
          </a:p>
        </c:rich>
      </c:tx>
      <c:layout>
        <c:manualLayout>
          <c:xMode val="edge"/>
          <c:yMode val="edge"/>
          <c:x val="0.32806875228910021"/>
          <c:y val="0.8574162248720328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393344205186473E-2"/>
          <c:y val="5.8048289614518168E-2"/>
          <c:w val="0.88005693943355323"/>
          <c:h val="0.77478653381122287"/>
        </c:manualLayout>
      </c:layout>
      <c:pie3DChart>
        <c:varyColors val="1"/>
        <c:ser>
          <c:idx val="0"/>
          <c:order val="0"/>
          <c:tx>
            <c:strRef>
              <c:f>'Daily - All'!$B$42:$B$45</c:f>
              <c:strCache>
                <c:ptCount val="4"/>
                <c:pt idx="0">
                  <c:v>Other</c:v>
                </c:pt>
                <c:pt idx="1">
                  <c:v>CYCLE ON</c:v>
                </c:pt>
                <c:pt idx="2">
                  <c:v>CYCLE OFF</c:v>
                </c:pt>
                <c:pt idx="3">
                  <c:v>SETUP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rgbClr val="33CC3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dLbl>
              <c:idx val="1"/>
              <c:layout>
                <c:manualLayout>
                  <c:x val="-0.22702715024961817"/>
                  <c:y val="-0.2273560344292059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'Daily - All'!$D$42:$D$45</c:f>
              <c:numCache>
                <c:formatCode>0.00%</c:formatCode>
                <c:ptCount val="4"/>
                <c:pt idx="0">
                  <c:v>0.10222222222222221</c:v>
                </c:pt>
                <c:pt idx="1">
                  <c:v>0.54</c:v>
                </c:pt>
                <c:pt idx="2">
                  <c:v>0.15333333333333332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Shift 1</c:v>
          </c:tx>
          <c:marker>
            <c:symbol val="none"/>
          </c:marker>
          <c:trendline>
            <c:spPr>
              <a:ln w="31750">
                <a:solidFill>
                  <a:srgbClr val="FF0000"/>
                </a:solidFill>
              </a:ln>
            </c:spPr>
            <c:trendlineType val="poly"/>
            <c:order val="6"/>
            <c:dispRSqr val="0"/>
            <c:dispEq val="0"/>
          </c:trendline>
          <c:cat>
            <c:numRef>
              <c:f>'Trend - Mazat 1'!$A$4:$A$155</c:f>
              <c:numCache>
                <c:formatCode>mm/dd/yy;@</c:formatCode>
                <c:ptCount val="152"/>
                <c:pt idx="0">
                  <c:v>41277</c:v>
                </c:pt>
                <c:pt idx="1">
                  <c:v>41278</c:v>
                </c:pt>
                <c:pt idx="2">
                  <c:v>41279</c:v>
                </c:pt>
                <c:pt idx="3">
                  <c:v>41280</c:v>
                </c:pt>
                <c:pt idx="4">
                  <c:v>41281</c:v>
                </c:pt>
                <c:pt idx="5">
                  <c:v>41282</c:v>
                </c:pt>
                <c:pt idx="6">
                  <c:v>41283</c:v>
                </c:pt>
                <c:pt idx="7">
                  <c:v>41284</c:v>
                </c:pt>
                <c:pt idx="8">
                  <c:v>41285</c:v>
                </c:pt>
                <c:pt idx="9">
                  <c:v>41286</c:v>
                </c:pt>
                <c:pt idx="10">
                  <c:v>41287</c:v>
                </c:pt>
                <c:pt idx="11">
                  <c:v>41288</c:v>
                </c:pt>
                <c:pt idx="12">
                  <c:v>41289</c:v>
                </c:pt>
                <c:pt idx="13">
                  <c:v>41290</c:v>
                </c:pt>
                <c:pt idx="14">
                  <c:v>41291</c:v>
                </c:pt>
                <c:pt idx="15">
                  <c:v>41292</c:v>
                </c:pt>
                <c:pt idx="16">
                  <c:v>41293</c:v>
                </c:pt>
                <c:pt idx="17">
                  <c:v>41294</c:v>
                </c:pt>
                <c:pt idx="18">
                  <c:v>41295</c:v>
                </c:pt>
                <c:pt idx="19">
                  <c:v>41296</c:v>
                </c:pt>
                <c:pt idx="20">
                  <c:v>41297</c:v>
                </c:pt>
                <c:pt idx="21">
                  <c:v>41298</c:v>
                </c:pt>
                <c:pt idx="22">
                  <c:v>41299</c:v>
                </c:pt>
                <c:pt idx="23">
                  <c:v>41300</c:v>
                </c:pt>
                <c:pt idx="24">
                  <c:v>41301</c:v>
                </c:pt>
                <c:pt idx="25">
                  <c:v>41302</c:v>
                </c:pt>
                <c:pt idx="26">
                  <c:v>41303</c:v>
                </c:pt>
                <c:pt idx="27">
                  <c:v>41304</c:v>
                </c:pt>
                <c:pt idx="28">
                  <c:v>41305</c:v>
                </c:pt>
                <c:pt idx="29">
                  <c:v>41306</c:v>
                </c:pt>
                <c:pt idx="30">
                  <c:v>41307</c:v>
                </c:pt>
                <c:pt idx="31">
                  <c:v>41308</c:v>
                </c:pt>
                <c:pt idx="32">
                  <c:v>41309</c:v>
                </c:pt>
                <c:pt idx="33">
                  <c:v>41310</c:v>
                </c:pt>
                <c:pt idx="34">
                  <c:v>41311</c:v>
                </c:pt>
                <c:pt idx="35">
                  <c:v>41312</c:v>
                </c:pt>
                <c:pt idx="36">
                  <c:v>41313</c:v>
                </c:pt>
                <c:pt idx="37">
                  <c:v>41314</c:v>
                </c:pt>
                <c:pt idx="38">
                  <c:v>41315</c:v>
                </c:pt>
                <c:pt idx="39">
                  <c:v>41316</c:v>
                </c:pt>
                <c:pt idx="40">
                  <c:v>41317</c:v>
                </c:pt>
                <c:pt idx="41">
                  <c:v>41318</c:v>
                </c:pt>
                <c:pt idx="42">
                  <c:v>41319</c:v>
                </c:pt>
                <c:pt idx="43">
                  <c:v>41320</c:v>
                </c:pt>
                <c:pt idx="44">
                  <c:v>41321</c:v>
                </c:pt>
                <c:pt idx="45">
                  <c:v>41322</c:v>
                </c:pt>
                <c:pt idx="46">
                  <c:v>41323</c:v>
                </c:pt>
                <c:pt idx="47">
                  <c:v>41324</c:v>
                </c:pt>
                <c:pt idx="48">
                  <c:v>41325</c:v>
                </c:pt>
                <c:pt idx="49">
                  <c:v>41326</c:v>
                </c:pt>
                <c:pt idx="50">
                  <c:v>41327</c:v>
                </c:pt>
                <c:pt idx="51">
                  <c:v>41328</c:v>
                </c:pt>
                <c:pt idx="52">
                  <c:v>41329</c:v>
                </c:pt>
                <c:pt idx="53">
                  <c:v>41330</c:v>
                </c:pt>
                <c:pt idx="54">
                  <c:v>41331</c:v>
                </c:pt>
                <c:pt idx="55">
                  <c:v>41332</c:v>
                </c:pt>
                <c:pt idx="56">
                  <c:v>41333</c:v>
                </c:pt>
                <c:pt idx="57">
                  <c:v>41334</c:v>
                </c:pt>
                <c:pt idx="58">
                  <c:v>41335</c:v>
                </c:pt>
                <c:pt idx="59">
                  <c:v>41336</c:v>
                </c:pt>
                <c:pt idx="60">
                  <c:v>41337</c:v>
                </c:pt>
                <c:pt idx="61">
                  <c:v>41338</c:v>
                </c:pt>
                <c:pt idx="62">
                  <c:v>41339</c:v>
                </c:pt>
                <c:pt idx="63">
                  <c:v>41340</c:v>
                </c:pt>
                <c:pt idx="64">
                  <c:v>41341</c:v>
                </c:pt>
                <c:pt idx="65">
                  <c:v>41342</c:v>
                </c:pt>
                <c:pt idx="66">
                  <c:v>41343</c:v>
                </c:pt>
                <c:pt idx="67">
                  <c:v>41344</c:v>
                </c:pt>
                <c:pt idx="68">
                  <c:v>41345</c:v>
                </c:pt>
                <c:pt idx="69">
                  <c:v>41346</c:v>
                </c:pt>
                <c:pt idx="70">
                  <c:v>41347</c:v>
                </c:pt>
                <c:pt idx="71">
                  <c:v>41348</c:v>
                </c:pt>
                <c:pt idx="72">
                  <c:v>41349</c:v>
                </c:pt>
                <c:pt idx="73">
                  <c:v>41350</c:v>
                </c:pt>
                <c:pt idx="74">
                  <c:v>41351</c:v>
                </c:pt>
                <c:pt idx="75">
                  <c:v>41352</c:v>
                </c:pt>
                <c:pt idx="76">
                  <c:v>41353</c:v>
                </c:pt>
                <c:pt idx="77">
                  <c:v>41354</c:v>
                </c:pt>
                <c:pt idx="78">
                  <c:v>41355</c:v>
                </c:pt>
                <c:pt idx="79">
                  <c:v>41356</c:v>
                </c:pt>
                <c:pt idx="80">
                  <c:v>41357</c:v>
                </c:pt>
                <c:pt idx="81">
                  <c:v>41358</c:v>
                </c:pt>
                <c:pt idx="82">
                  <c:v>41359</c:v>
                </c:pt>
                <c:pt idx="83">
                  <c:v>41360</c:v>
                </c:pt>
                <c:pt idx="84">
                  <c:v>41361</c:v>
                </c:pt>
                <c:pt idx="85">
                  <c:v>41362</c:v>
                </c:pt>
                <c:pt idx="86">
                  <c:v>41363</c:v>
                </c:pt>
                <c:pt idx="87">
                  <c:v>41364</c:v>
                </c:pt>
                <c:pt idx="88">
                  <c:v>41365</c:v>
                </c:pt>
                <c:pt idx="89">
                  <c:v>41366</c:v>
                </c:pt>
                <c:pt idx="90">
                  <c:v>41367</c:v>
                </c:pt>
                <c:pt idx="91">
                  <c:v>41368</c:v>
                </c:pt>
                <c:pt idx="92">
                  <c:v>41369</c:v>
                </c:pt>
                <c:pt idx="93">
                  <c:v>41370</c:v>
                </c:pt>
                <c:pt idx="94">
                  <c:v>41371</c:v>
                </c:pt>
                <c:pt idx="95">
                  <c:v>41372</c:v>
                </c:pt>
                <c:pt idx="96">
                  <c:v>41373</c:v>
                </c:pt>
                <c:pt idx="97">
                  <c:v>41374</c:v>
                </c:pt>
                <c:pt idx="98">
                  <c:v>41375</c:v>
                </c:pt>
                <c:pt idx="99">
                  <c:v>41376</c:v>
                </c:pt>
                <c:pt idx="100">
                  <c:v>41377</c:v>
                </c:pt>
                <c:pt idx="101">
                  <c:v>41378</c:v>
                </c:pt>
                <c:pt idx="102">
                  <c:v>41379</c:v>
                </c:pt>
                <c:pt idx="103">
                  <c:v>41380</c:v>
                </c:pt>
                <c:pt idx="104">
                  <c:v>41381</c:v>
                </c:pt>
                <c:pt idx="105">
                  <c:v>41382</c:v>
                </c:pt>
                <c:pt idx="106">
                  <c:v>41383</c:v>
                </c:pt>
                <c:pt idx="107">
                  <c:v>41384</c:v>
                </c:pt>
                <c:pt idx="108">
                  <c:v>41385</c:v>
                </c:pt>
                <c:pt idx="109">
                  <c:v>41386</c:v>
                </c:pt>
                <c:pt idx="110">
                  <c:v>41387</c:v>
                </c:pt>
                <c:pt idx="111">
                  <c:v>41388</c:v>
                </c:pt>
                <c:pt idx="112">
                  <c:v>41389</c:v>
                </c:pt>
                <c:pt idx="113">
                  <c:v>41390</c:v>
                </c:pt>
                <c:pt idx="114">
                  <c:v>41391</c:v>
                </c:pt>
                <c:pt idx="115">
                  <c:v>41392</c:v>
                </c:pt>
                <c:pt idx="116">
                  <c:v>41393</c:v>
                </c:pt>
                <c:pt idx="117">
                  <c:v>41394</c:v>
                </c:pt>
                <c:pt idx="118">
                  <c:v>41395</c:v>
                </c:pt>
                <c:pt idx="119">
                  <c:v>41396</c:v>
                </c:pt>
                <c:pt idx="120">
                  <c:v>41397</c:v>
                </c:pt>
                <c:pt idx="121">
                  <c:v>41398</c:v>
                </c:pt>
                <c:pt idx="122">
                  <c:v>41399</c:v>
                </c:pt>
                <c:pt idx="123">
                  <c:v>41400</c:v>
                </c:pt>
                <c:pt idx="124">
                  <c:v>41401</c:v>
                </c:pt>
                <c:pt idx="125">
                  <c:v>41402</c:v>
                </c:pt>
                <c:pt idx="126">
                  <c:v>41403</c:v>
                </c:pt>
                <c:pt idx="127">
                  <c:v>41404</c:v>
                </c:pt>
                <c:pt idx="128">
                  <c:v>41405</c:v>
                </c:pt>
                <c:pt idx="129">
                  <c:v>41406</c:v>
                </c:pt>
                <c:pt idx="130">
                  <c:v>41407</c:v>
                </c:pt>
                <c:pt idx="131">
                  <c:v>41408</c:v>
                </c:pt>
                <c:pt idx="132">
                  <c:v>41409</c:v>
                </c:pt>
                <c:pt idx="133">
                  <c:v>41410</c:v>
                </c:pt>
                <c:pt idx="134">
                  <c:v>41411</c:v>
                </c:pt>
                <c:pt idx="135">
                  <c:v>41412</c:v>
                </c:pt>
                <c:pt idx="136">
                  <c:v>41413</c:v>
                </c:pt>
                <c:pt idx="137">
                  <c:v>41414</c:v>
                </c:pt>
                <c:pt idx="138">
                  <c:v>41415</c:v>
                </c:pt>
                <c:pt idx="139">
                  <c:v>41416</c:v>
                </c:pt>
                <c:pt idx="140">
                  <c:v>41417</c:v>
                </c:pt>
                <c:pt idx="141">
                  <c:v>41418</c:v>
                </c:pt>
                <c:pt idx="142">
                  <c:v>41419</c:v>
                </c:pt>
                <c:pt idx="143">
                  <c:v>41420</c:v>
                </c:pt>
                <c:pt idx="144">
                  <c:v>41421</c:v>
                </c:pt>
                <c:pt idx="145">
                  <c:v>41422</c:v>
                </c:pt>
                <c:pt idx="146">
                  <c:v>41423</c:v>
                </c:pt>
                <c:pt idx="147">
                  <c:v>41424</c:v>
                </c:pt>
                <c:pt idx="148">
                  <c:v>41425</c:v>
                </c:pt>
                <c:pt idx="149">
                  <c:v>41426</c:v>
                </c:pt>
                <c:pt idx="150">
                  <c:v>41427</c:v>
                </c:pt>
                <c:pt idx="151">
                  <c:v>41428</c:v>
                </c:pt>
              </c:numCache>
            </c:numRef>
          </c:cat>
          <c:val>
            <c:numRef>
              <c:f>'Trend - Mazat 1'!$C$4:$C$155</c:f>
              <c:numCache>
                <c:formatCode>0%</c:formatCode>
                <c:ptCount val="152"/>
                <c:pt idx="0">
                  <c:v>0.1615336010962648</c:v>
                </c:pt>
                <c:pt idx="1">
                  <c:v>0.46300060084146749</c:v>
                </c:pt>
                <c:pt idx="2">
                  <c:v>0.30439524825799885</c:v>
                </c:pt>
                <c:pt idx="3">
                  <c:v>0.53376346533703201</c:v>
                </c:pt>
                <c:pt idx="4">
                  <c:v>0.42873726337980678</c:v>
                </c:pt>
                <c:pt idx="5">
                  <c:v>0.6678835984240632</c:v>
                </c:pt>
                <c:pt idx="6">
                  <c:v>0.48934420565290981</c:v>
                </c:pt>
                <c:pt idx="7">
                  <c:v>0.35087424990933769</c:v>
                </c:pt>
                <c:pt idx="8">
                  <c:v>0.32783700824158679</c:v>
                </c:pt>
                <c:pt idx="9">
                  <c:v>0.33198902857474466</c:v>
                </c:pt>
                <c:pt idx="10">
                  <c:v>0.39763280496027587</c:v>
                </c:pt>
                <c:pt idx="11">
                  <c:v>0.35410125179334057</c:v>
                </c:pt>
                <c:pt idx="12">
                  <c:v>0.37717418390622381</c:v>
                </c:pt>
                <c:pt idx="13">
                  <c:v>0.38248216815614156</c:v>
                </c:pt>
                <c:pt idx="14">
                  <c:v>0.42091076005525774</c:v>
                </c:pt>
                <c:pt idx="15">
                  <c:v>0.39818185004517581</c:v>
                </c:pt>
                <c:pt idx="16">
                  <c:v>0.43279428042071544</c:v>
                </c:pt>
                <c:pt idx="17">
                  <c:v>0.39837416086672051</c:v>
                </c:pt>
                <c:pt idx="18">
                  <c:v>0.39626695343627738</c:v>
                </c:pt>
                <c:pt idx="19">
                  <c:v>0.45301258195120242</c:v>
                </c:pt>
                <c:pt idx="20">
                  <c:v>0.42390721539822768</c:v>
                </c:pt>
                <c:pt idx="21">
                  <c:v>0.42101021554883639</c:v>
                </c:pt>
                <c:pt idx="22">
                  <c:v>0.46988166800862557</c:v>
                </c:pt>
                <c:pt idx="23">
                  <c:v>0.40669916856655064</c:v>
                </c:pt>
                <c:pt idx="24">
                  <c:v>0.44156003102346786</c:v>
                </c:pt>
                <c:pt idx="25">
                  <c:v>0.40941362427351441</c:v>
                </c:pt>
                <c:pt idx="26">
                  <c:v>0.46515938616634328</c:v>
                </c:pt>
                <c:pt idx="27">
                  <c:v>0.42659366681140409</c:v>
                </c:pt>
                <c:pt idx="28">
                  <c:v>0.4778083894619401</c:v>
                </c:pt>
                <c:pt idx="29">
                  <c:v>0.44615927272915246</c:v>
                </c:pt>
                <c:pt idx="30">
                  <c:v>0.43197367885253674</c:v>
                </c:pt>
                <c:pt idx="31">
                  <c:v>0.47972423911267786</c:v>
                </c:pt>
                <c:pt idx="32">
                  <c:v>0.44792248270520718</c:v>
                </c:pt>
                <c:pt idx="33">
                  <c:v>0.3837989724160441</c:v>
                </c:pt>
                <c:pt idx="34">
                  <c:v>0.42425722699536161</c:v>
                </c:pt>
                <c:pt idx="35">
                  <c:v>0.45061650402289272</c:v>
                </c:pt>
                <c:pt idx="36">
                  <c:v>0.49998810086916023</c:v>
                </c:pt>
                <c:pt idx="37">
                  <c:v>0.5174199852778798</c:v>
                </c:pt>
                <c:pt idx="38">
                  <c:v>0.45971271414442716</c:v>
                </c:pt>
                <c:pt idx="39">
                  <c:v>0.5055937811093707</c:v>
                </c:pt>
                <c:pt idx="40">
                  <c:v>0.53112983335054187</c:v>
                </c:pt>
                <c:pt idx="41">
                  <c:v>0.45139277015767759</c:v>
                </c:pt>
                <c:pt idx="42">
                  <c:v>0.46377512445681934</c:v>
                </c:pt>
                <c:pt idx="43">
                  <c:v>0.47759380003495427</c:v>
                </c:pt>
                <c:pt idx="44">
                  <c:v>0.45519757152979884</c:v>
                </c:pt>
                <c:pt idx="45">
                  <c:v>0.51356519846830662</c:v>
                </c:pt>
                <c:pt idx="46">
                  <c:v>0.49991652116768193</c:v>
                </c:pt>
                <c:pt idx="47">
                  <c:v>0.53909261296418443</c:v>
                </c:pt>
                <c:pt idx="48">
                  <c:v>0.50310313415569707</c:v>
                </c:pt>
                <c:pt idx="49">
                  <c:v>0.47091689106400608</c:v>
                </c:pt>
                <c:pt idx="50">
                  <c:v>0.52049343820511296</c:v>
                </c:pt>
                <c:pt idx="51">
                  <c:v>0.46904157572421262</c:v>
                </c:pt>
                <c:pt idx="52">
                  <c:v>0.47753336056922857</c:v>
                </c:pt>
                <c:pt idx="53">
                  <c:v>0.50304414199244707</c:v>
                </c:pt>
                <c:pt idx="54">
                  <c:v>0.51728901342156208</c:v>
                </c:pt>
                <c:pt idx="55">
                  <c:v>0.5678538946595858</c:v>
                </c:pt>
                <c:pt idx="56">
                  <c:v>0.47782531682432672</c:v>
                </c:pt>
                <c:pt idx="57">
                  <c:v>0.47451031467722588</c:v>
                </c:pt>
                <c:pt idx="58">
                  <c:v>0.48578562129080549</c:v>
                </c:pt>
                <c:pt idx="59">
                  <c:v>0.52711412645634192</c:v>
                </c:pt>
                <c:pt idx="60">
                  <c:v>0.5210883228384382</c:v>
                </c:pt>
                <c:pt idx="61">
                  <c:v>0.56353099854000999</c:v>
                </c:pt>
                <c:pt idx="62">
                  <c:v>0.58091046170022664</c:v>
                </c:pt>
                <c:pt idx="63">
                  <c:v>0.52940680067194834</c:v>
                </c:pt>
                <c:pt idx="64">
                  <c:v>0.50855248049243862</c:v>
                </c:pt>
                <c:pt idx="65">
                  <c:v>0.5447663981641756</c:v>
                </c:pt>
                <c:pt idx="66">
                  <c:v>0.5170854624575203</c:v>
                </c:pt>
                <c:pt idx="67">
                  <c:v>0.54137752027579067</c:v>
                </c:pt>
                <c:pt idx="68">
                  <c:v>0.55513067534764116</c:v>
                </c:pt>
                <c:pt idx="69">
                  <c:v>0.51755360566774233</c:v>
                </c:pt>
                <c:pt idx="70">
                  <c:v>0.59884823525946174</c:v>
                </c:pt>
                <c:pt idx="71">
                  <c:v>0.50738083585949445</c:v>
                </c:pt>
                <c:pt idx="72">
                  <c:v>0.54364683837722616</c:v>
                </c:pt>
                <c:pt idx="73">
                  <c:v>0.52457643824274003</c:v>
                </c:pt>
                <c:pt idx="74">
                  <c:v>0.487244073154115</c:v>
                </c:pt>
                <c:pt idx="75">
                  <c:v>0.47088654206669489</c:v>
                </c:pt>
                <c:pt idx="76">
                  <c:v>0.43986993941347013</c:v>
                </c:pt>
                <c:pt idx="77">
                  <c:v>0.45626020226582964</c:v>
                </c:pt>
                <c:pt idx="78">
                  <c:v>0.45579321593594763</c:v>
                </c:pt>
                <c:pt idx="79">
                  <c:v>0.27118007783420955</c:v>
                </c:pt>
                <c:pt idx="80">
                  <c:v>0.4462830609651916</c:v>
                </c:pt>
                <c:pt idx="81">
                  <c:v>0.48185181846906849</c:v>
                </c:pt>
                <c:pt idx="82">
                  <c:v>0.52932277098311387</c:v>
                </c:pt>
                <c:pt idx="83">
                  <c:v>0.46361745564178997</c:v>
                </c:pt>
                <c:pt idx="84">
                  <c:v>0.48084627782512562</c:v>
                </c:pt>
                <c:pt idx="85">
                  <c:v>0.5773275214406588</c:v>
                </c:pt>
                <c:pt idx="86">
                  <c:v>0.50120096249974133</c:v>
                </c:pt>
                <c:pt idx="87">
                  <c:v>0.46730556280591534</c:v>
                </c:pt>
                <c:pt idx="88">
                  <c:v>0.46666278285583224</c:v>
                </c:pt>
                <c:pt idx="89">
                  <c:v>0.39755167964753141</c:v>
                </c:pt>
                <c:pt idx="90">
                  <c:v>0.45097599999109278</c:v>
                </c:pt>
                <c:pt idx="91">
                  <c:v>0.44864278698116083</c:v>
                </c:pt>
                <c:pt idx="92">
                  <c:v>0.31015014824178294</c:v>
                </c:pt>
                <c:pt idx="93">
                  <c:v>0.35749116231356209</c:v>
                </c:pt>
                <c:pt idx="94">
                  <c:v>0.3032082215635879</c:v>
                </c:pt>
                <c:pt idx="95">
                  <c:v>0.38508395936922574</c:v>
                </c:pt>
                <c:pt idx="96">
                  <c:v>0.40015039501260335</c:v>
                </c:pt>
                <c:pt idx="97">
                  <c:v>0.44080074376070333</c:v>
                </c:pt>
                <c:pt idx="98">
                  <c:v>0.50053751038283267</c:v>
                </c:pt>
                <c:pt idx="99">
                  <c:v>0.44809800515843745</c:v>
                </c:pt>
                <c:pt idx="100">
                  <c:v>0.52277042686585229</c:v>
                </c:pt>
                <c:pt idx="101">
                  <c:v>0.51169708984991835</c:v>
                </c:pt>
                <c:pt idx="102">
                  <c:v>0.4856886824236617</c:v>
                </c:pt>
                <c:pt idx="103">
                  <c:v>0.51250870783128577</c:v>
                </c:pt>
                <c:pt idx="104">
                  <c:v>0.55661601792767212</c:v>
                </c:pt>
                <c:pt idx="105">
                  <c:v>0.56090403090439134</c:v>
                </c:pt>
                <c:pt idx="106">
                  <c:v>0.55695086356113466</c:v>
                </c:pt>
                <c:pt idx="107">
                  <c:v>0.53640911877769593</c:v>
                </c:pt>
                <c:pt idx="108">
                  <c:v>0.56556331872583965</c:v>
                </c:pt>
                <c:pt idx="109">
                  <c:v>0.61255221656404468</c:v>
                </c:pt>
                <c:pt idx="110">
                  <c:v>0.52690347034771534</c:v>
                </c:pt>
                <c:pt idx="111">
                  <c:v>0.62128220020630309</c:v>
                </c:pt>
                <c:pt idx="112">
                  <c:v>0.61472156791098498</c:v>
                </c:pt>
                <c:pt idx="113">
                  <c:v>0.53343230303454658</c:v>
                </c:pt>
                <c:pt idx="114">
                  <c:v>0.6251854942076448</c:v>
                </c:pt>
                <c:pt idx="115">
                  <c:v>0.58657147112665187</c:v>
                </c:pt>
                <c:pt idx="116">
                  <c:v>0.60620597117012953</c:v>
                </c:pt>
                <c:pt idx="117">
                  <c:v>0.53983383653056327</c:v>
                </c:pt>
                <c:pt idx="118">
                  <c:v>0.56309804667064833</c:v>
                </c:pt>
                <c:pt idx="119">
                  <c:v>0.56771875169031794</c:v>
                </c:pt>
                <c:pt idx="120">
                  <c:v>0.58874697489971339</c:v>
                </c:pt>
                <c:pt idx="121">
                  <c:v>0.63031850206555295</c:v>
                </c:pt>
                <c:pt idx="122">
                  <c:v>0.57052082507859092</c:v>
                </c:pt>
                <c:pt idx="123">
                  <c:v>0.58879438037008103</c:v>
                </c:pt>
                <c:pt idx="124">
                  <c:v>0.59256871677837764</c:v>
                </c:pt>
                <c:pt idx="125">
                  <c:v>0.56570084218249683</c:v>
                </c:pt>
                <c:pt idx="126">
                  <c:v>0.58068785605251905</c:v>
                </c:pt>
                <c:pt idx="127">
                  <c:v>0.63805362817834388</c:v>
                </c:pt>
                <c:pt idx="128">
                  <c:v>0.61053756378450819</c:v>
                </c:pt>
                <c:pt idx="129">
                  <c:v>0.5646304603222867</c:v>
                </c:pt>
                <c:pt idx="130">
                  <c:v>0.63207092760724515</c:v>
                </c:pt>
                <c:pt idx="131">
                  <c:v>0.65745554567037556</c:v>
                </c:pt>
                <c:pt idx="132">
                  <c:v>0.64161043817245722</c:v>
                </c:pt>
                <c:pt idx="133">
                  <c:v>0.65339377318397485</c:v>
                </c:pt>
                <c:pt idx="134">
                  <c:v>0.58482603577113912</c:v>
                </c:pt>
                <c:pt idx="135">
                  <c:v>0.6565406830151711</c:v>
                </c:pt>
                <c:pt idx="136">
                  <c:v>0.63663935800559235</c:v>
                </c:pt>
                <c:pt idx="137">
                  <c:v>0.60585307895335549</c:v>
                </c:pt>
                <c:pt idx="138">
                  <c:v>0.6641263144066748</c:v>
                </c:pt>
                <c:pt idx="139">
                  <c:v>0.64342782952840338</c:v>
                </c:pt>
                <c:pt idx="140">
                  <c:v>0.5873062804450887</c:v>
                </c:pt>
                <c:pt idx="141">
                  <c:v>0.61178566182555727</c:v>
                </c:pt>
                <c:pt idx="142">
                  <c:v>0.67320230637964662</c:v>
                </c:pt>
                <c:pt idx="143">
                  <c:v>0.67869837269435329</c:v>
                </c:pt>
                <c:pt idx="144">
                  <c:v>0.61529583126277598</c:v>
                </c:pt>
                <c:pt idx="145">
                  <c:v>0.66528647654645112</c:v>
                </c:pt>
                <c:pt idx="146">
                  <c:v>0.63461409078441522</c:v>
                </c:pt>
                <c:pt idx="147">
                  <c:v>0.69349637403933573</c:v>
                </c:pt>
                <c:pt idx="148">
                  <c:v>0.66967289091326143</c:v>
                </c:pt>
                <c:pt idx="149">
                  <c:v>0.62280732736994826</c:v>
                </c:pt>
                <c:pt idx="150">
                  <c:v>0.70391141214009212</c:v>
                </c:pt>
                <c:pt idx="151">
                  <c:v>0.67569401876077084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318008"/>
        <c:axId val="271318400"/>
      </c:lineChart>
      <c:dateAx>
        <c:axId val="271318008"/>
        <c:scaling>
          <c:orientation val="minMax"/>
        </c:scaling>
        <c:delete val="0"/>
        <c:axPos val="b"/>
        <c:numFmt formatCode="mm/dd/yy;@" sourceLinked="1"/>
        <c:majorTickMark val="out"/>
        <c:minorTickMark val="none"/>
        <c:tickLblPos val="nextTo"/>
        <c:crossAx val="271318400"/>
        <c:crosses val="autoZero"/>
        <c:auto val="1"/>
        <c:lblOffset val="100"/>
        <c:baseTimeUnit val="days"/>
      </c:dateAx>
      <c:valAx>
        <c:axId val="2713184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713180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Shift 2</c:v>
          </c:tx>
          <c:marker>
            <c:symbol val="none"/>
          </c:marker>
          <c:trendline>
            <c:spPr>
              <a:ln w="31750">
                <a:solidFill>
                  <a:srgbClr val="FF0000"/>
                </a:solidFill>
              </a:ln>
            </c:spPr>
            <c:trendlineType val="poly"/>
            <c:order val="6"/>
            <c:dispRSqr val="0"/>
            <c:dispEq val="0"/>
          </c:trendline>
          <c:cat>
            <c:numRef>
              <c:f>'Trend - Mazat 1'!$A$4:$A$155</c:f>
              <c:numCache>
                <c:formatCode>mm/dd/yy;@</c:formatCode>
                <c:ptCount val="152"/>
                <c:pt idx="0">
                  <c:v>41277</c:v>
                </c:pt>
                <c:pt idx="1">
                  <c:v>41278</c:v>
                </c:pt>
                <c:pt idx="2">
                  <c:v>41279</c:v>
                </c:pt>
                <c:pt idx="3">
                  <c:v>41280</c:v>
                </c:pt>
                <c:pt idx="4">
                  <c:v>41281</c:v>
                </c:pt>
                <c:pt idx="5">
                  <c:v>41282</c:v>
                </c:pt>
                <c:pt idx="6">
                  <c:v>41283</c:v>
                </c:pt>
                <c:pt idx="7">
                  <c:v>41284</c:v>
                </c:pt>
                <c:pt idx="8">
                  <c:v>41285</c:v>
                </c:pt>
                <c:pt idx="9">
                  <c:v>41286</c:v>
                </c:pt>
                <c:pt idx="10">
                  <c:v>41287</c:v>
                </c:pt>
                <c:pt idx="11">
                  <c:v>41288</c:v>
                </c:pt>
                <c:pt idx="12">
                  <c:v>41289</c:v>
                </c:pt>
                <c:pt idx="13">
                  <c:v>41290</c:v>
                </c:pt>
                <c:pt idx="14">
                  <c:v>41291</c:v>
                </c:pt>
                <c:pt idx="15">
                  <c:v>41292</c:v>
                </c:pt>
                <c:pt idx="16">
                  <c:v>41293</c:v>
                </c:pt>
                <c:pt idx="17">
                  <c:v>41294</c:v>
                </c:pt>
                <c:pt idx="18">
                  <c:v>41295</c:v>
                </c:pt>
                <c:pt idx="19">
                  <c:v>41296</c:v>
                </c:pt>
                <c:pt idx="20">
                  <c:v>41297</c:v>
                </c:pt>
                <c:pt idx="21">
                  <c:v>41298</c:v>
                </c:pt>
                <c:pt idx="22">
                  <c:v>41299</c:v>
                </c:pt>
                <c:pt idx="23">
                  <c:v>41300</c:v>
                </c:pt>
                <c:pt idx="24">
                  <c:v>41301</c:v>
                </c:pt>
                <c:pt idx="25">
                  <c:v>41302</c:v>
                </c:pt>
                <c:pt idx="26">
                  <c:v>41303</c:v>
                </c:pt>
                <c:pt idx="27">
                  <c:v>41304</c:v>
                </c:pt>
                <c:pt idx="28">
                  <c:v>41305</c:v>
                </c:pt>
                <c:pt idx="29">
                  <c:v>41306</c:v>
                </c:pt>
                <c:pt idx="30">
                  <c:v>41307</c:v>
                </c:pt>
                <c:pt idx="31">
                  <c:v>41308</c:v>
                </c:pt>
                <c:pt idx="32">
                  <c:v>41309</c:v>
                </c:pt>
                <c:pt idx="33">
                  <c:v>41310</c:v>
                </c:pt>
                <c:pt idx="34">
                  <c:v>41311</c:v>
                </c:pt>
                <c:pt idx="35">
                  <c:v>41312</c:v>
                </c:pt>
                <c:pt idx="36">
                  <c:v>41313</c:v>
                </c:pt>
                <c:pt idx="37">
                  <c:v>41314</c:v>
                </c:pt>
                <c:pt idx="38">
                  <c:v>41315</c:v>
                </c:pt>
                <c:pt idx="39">
                  <c:v>41316</c:v>
                </c:pt>
                <c:pt idx="40">
                  <c:v>41317</c:v>
                </c:pt>
                <c:pt idx="41">
                  <c:v>41318</c:v>
                </c:pt>
                <c:pt idx="42">
                  <c:v>41319</c:v>
                </c:pt>
                <c:pt idx="43">
                  <c:v>41320</c:v>
                </c:pt>
                <c:pt idx="44">
                  <c:v>41321</c:v>
                </c:pt>
                <c:pt idx="45">
                  <c:v>41322</c:v>
                </c:pt>
                <c:pt idx="46">
                  <c:v>41323</c:v>
                </c:pt>
                <c:pt idx="47">
                  <c:v>41324</c:v>
                </c:pt>
                <c:pt idx="48">
                  <c:v>41325</c:v>
                </c:pt>
                <c:pt idx="49">
                  <c:v>41326</c:v>
                </c:pt>
                <c:pt idx="50">
                  <c:v>41327</c:v>
                </c:pt>
                <c:pt idx="51">
                  <c:v>41328</c:v>
                </c:pt>
                <c:pt idx="52">
                  <c:v>41329</c:v>
                </c:pt>
                <c:pt idx="53">
                  <c:v>41330</c:v>
                </c:pt>
                <c:pt idx="54">
                  <c:v>41331</c:v>
                </c:pt>
                <c:pt idx="55">
                  <c:v>41332</c:v>
                </c:pt>
                <c:pt idx="56">
                  <c:v>41333</c:v>
                </c:pt>
                <c:pt idx="57">
                  <c:v>41334</c:v>
                </c:pt>
                <c:pt idx="58">
                  <c:v>41335</c:v>
                </c:pt>
                <c:pt idx="59">
                  <c:v>41336</c:v>
                </c:pt>
                <c:pt idx="60">
                  <c:v>41337</c:v>
                </c:pt>
                <c:pt idx="61">
                  <c:v>41338</c:v>
                </c:pt>
                <c:pt idx="62">
                  <c:v>41339</c:v>
                </c:pt>
                <c:pt idx="63">
                  <c:v>41340</c:v>
                </c:pt>
                <c:pt idx="64">
                  <c:v>41341</c:v>
                </c:pt>
                <c:pt idx="65">
                  <c:v>41342</c:v>
                </c:pt>
                <c:pt idx="66">
                  <c:v>41343</c:v>
                </c:pt>
                <c:pt idx="67">
                  <c:v>41344</c:v>
                </c:pt>
                <c:pt idx="68">
                  <c:v>41345</c:v>
                </c:pt>
                <c:pt idx="69">
                  <c:v>41346</c:v>
                </c:pt>
                <c:pt idx="70">
                  <c:v>41347</c:v>
                </c:pt>
                <c:pt idx="71">
                  <c:v>41348</c:v>
                </c:pt>
                <c:pt idx="72">
                  <c:v>41349</c:v>
                </c:pt>
                <c:pt idx="73">
                  <c:v>41350</c:v>
                </c:pt>
                <c:pt idx="74">
                  <c:v>41351</c:v>
                </c:pt>
                <c:pt idx="75">
                  <c:v>41352</c:v>
                </c:pt>
                <c:pt idx="76">
                  <c:v>41353</c:v>
                </c:pt>
                <c:pt idx="77">
                  <c:v>41354</c:v>
                </c:pt>
                <c:pt idx="78">
                  <c:v>41355</c:v>
                </c:pt>
                <c:pt idx="79">
                  <c:v>41356</c:v>
                </c:pt>
                <c:pt idx="80">
                  <c:v>41357</c:v>
                </c:pt>
                <c:pt idx="81">
                  <c:v>41358</c:v>
                </c:pt>
                <c:pt idx="82">
                  <c:v>41359</c:v>
                </c:pt>
                <c:pt idx="83">
                  <c:v>41360</c:v>
                </c:pt>
                <c:pt idx="84">
                  <c:v>41361</c:v>
                </c:pt>
                <c:pt idx="85">
                  <c:v>41362</c:v>
                </c:pt>
                <c:pt idx="86">
                  <c:v>41363</c:v>
                </c:pt>
                <c:pt idx="87">
                  <c:v>41364</c:v>
                </c:pt>
                <c:pt idx="88">
                  <c:v>41365</c:v>
                </c:pt>
                <c:pt idx="89">
                  <c:v>41366</c:v>
                </c:pt>
                <c:pt idx="90">
                  <c:v>41367</c:v>
                </c:pt>
                <c:pt idx="91">
                  <c:v>41368</c:v>
                </c:pt>
                <c:pt idx="92">
                  <c:v>41369</c:v>
                </c:pt>
                <c:pt idx="93">
                  <c:v>41370</c:v>
                </c:pt>
                <c:pt idx="94">
                  <c:v>41371</c:v>
                </c:pt>
                <c:pt idx="95">
                  <c:v>41372</c:v>
                </c:pt>
                <c:pt idx="96">
                  <c:v>41373</c:v>
                </c:pt>
                <c:pt idx="97">
                  <c:v>41374</c:v>
                </c:pt>
                <c:pt idx="98">
                  <c:v>41375</c:v>
                </c:pt>
                <c:pt idx="99">
                  <c:v>41376</c:v>
                </c:pt>
                <c:pt idx="100">
                  <c:v>41377</c:v>
                </c:pt>
                <c:pt idx="101">
                  <c:v>41378</c:v>
                </c:pt>
                <c:pt idx="102">
                  <c:v>41379</c:v>
                </c:pt>
                <c:pt idx="103">
                  <c:v>41380</c:v>
                </c:pt>
                <c:pt idx="104">
                  <c:v>41381</c:v>
                </c:pt>
                <c:pt idx="105">
                  <c:v>41382</c:v>
                </c:pt>
                <c:pt idx="106">
                  <c:v>41383</c:v>
                </c:pt>
                <c:pt idx="107">
                  <c:v>41384</c:v>
                </c:pt>
                <c:pt idx="108">
                  <c:v>41385</c:v>
                </c:pt>
                <c:pt idx="109">
                  <c:v>41386</c:v>
                </c:pt>
                <c:pt idx="110">
                  <c:v>41387</c:v>
                </c:pt>
                <c:pt idx="111">
                  <c:v>41388</c:v>
                </c:pt>
                <c:pt idx="112">
                  <c:v>41389</c:v>
                </c:pt>
                <c:pt idx="113">
                  <c:v>41390</c:v>
                </c:pt>
                <c:pt idx="114">
                  <c:v>41391</c:v>
                </c:pt>
                <c:pt idx="115">
                  <c:v>41392</c:v>
                </c:pt>
                <c:pt idx="116">
                  <c:v>41393</c:v>
                </c:pt>
                <c:pt idx="117">
                  <c:v>41394</c:v>
                </c:pt>
                <c:pt idx="118">
                  <c:v>41395</c:v>
                </c:pt>
                <c:pt idx="119">
                  <c:v>41396</c:v>
                </c:pt>
                <c:pt idx="120">
                  <c:v>41397</c:v>
                </c:pt>
                <c:pt idx="121">
                  <c:v>41398</c:v>
                </c:pt>
                <c:pt idx="122">
                  <c:v>41399</c:v>
                </c:pt>
                <c:pt idx="123">
                  <c:v>41400</c:v>
                </c:pt>
                <c:pt idx="124">
                  <c:v>41401</c:v>
                </c:pt>
                <c:pt idx="125">
                  <c:v>41402</c:v>
                </c:pt>
                <c:pt idx="126">
                  <c:v>41403</c:v>
                </c:pt>
                <c:pt idx="127">
                  <c:v>41404</c:v>
                </c:pt>
                <c:pt idx="128">
                  <c:v>41405</c:v>
                </c:pt>
                <c:pt idx="129">
                  <c:v>41406</c:v>
                </c:pt>
                <c:pt idx="130">
                  <c:v>41407</c:v>
                </c:pt>
                <c:pt idx="131">
                  <c:v>41408</c:v>
                </c:pt>
                <c:pt idx="132">
                  <c:v>41409</c:v>
                </c:pt>
                <c:pt idx="133">
                  <c:v>41410</c:v>
                </c:pt>
                <c:pt idx="134">
                  <c:v>41411</c:v>
                </c:pt>
                <c:pt idx="135">
                  <c:v>41412</c:v>
                </c:pt>
                <c:pt idx="136">
                  <c:v>41413</c:v>
                </c:pt>
                <c:pt idx="137">
                  <c:v>41414</c:v>
                </c:pt>
                <c:pt idx="138">
                  <c:v>41415</c:v>
                </c:pt>
                <c:pt idx="139">
                  <c:v>41416</c:v>
                </c:pt>
                <c:pt idx="140">
                  <c:v>41417</c:v>
                </c:pt>
                <c:pt idx="141">
                  <c:v>41418</c:v>
                </c:pt>
                <c:pt idx="142">
                  <c:v>41419</c:v>
                </c:pt>
                <c:pt idx="143">
                  <c:v>41420</c:v>
                </c:pt>
                <c:pt idx="144">
                  <c:v>41421</c:v>
                </c:pt>
                <c:pt idx="145">
                  <c:v>41422</c:v>
                </c:pt>
                <c:pt idx="146">
                  <c:v>41423</c:v>
                </c:pt>
                <c:pt idx="147">
                  <c:v>41424</c:v>
                </c:pt>
                <c:pt idx="148">
                  <c:v>41425</c:v>
                </c:pt>
                <c:pt idx="149">
                  <c:v>41426</c:v>
                </c:pt>
                <c:pt idx="150">
                  <c:v>41427</c:v>
                </c:pt>
                <c:pt idx="151">
                  <c:v>41428</c:v>
                </c:pt>
              </c:numCache>
            </c:numRef>
          </c:cat>
          <c:val>
            <c:numRef>
              <c:f>'Trend - Mazat 1'!$E$4:$E$155</c:f>
              <c:numCache>
                <c:formatCode>0%</c:formatCode>
                <c:ptCount val="152"/>
                <c:pt idx="0">
                  <c:v>0.19684052642552502</c:v>
                </c:pt>
                <c:pt idx="1">
                  <c:v>0.27508303925118488</c:v>
                </c:pt>
                <c:pt idx="2">
                  <c:v>0.25855810271901219</c:v>
                </c:pt>
                <c:pt idx="3">
                  <c:v>0.19633232817369178</c:v>
                </c:pt>
                <c:pt idx="4">
                  <c:v>0.24466858516093987</c:v>
                </c:pt>
                <c:pt idx="5">
                  <c:v>0.23551960136964406</c:v>
                </c:pt>
                <c:pt idx="6">
                  <c:v>0.28911800100103502</c:v>
                </c:pt>
                <c:pt idx="7">
                  <c:v>0.27145303772258983</c:v>
                </c:pt>
                <c:pt idx="8">
                  <c:v>0.33169606588444961</c:v>
                </c:pt>
                <c:pt idx="9">
                  <c:v>0.26985304948770228</c:v>
                </c:pt>
                <c:pt idx="10">
                  <c:v>0.37396304286614684</c:v>
                </c:pt>
                <c:pt idx="11">
                  <c:v>0.21463059831544673</c:v>
                </c:pt>
                <c:pt idx="12">
                  <c:v>0.29755283147601808</c:v>
                </c:pt>
                <c:pt idx="13">
                  <c:v>0.24675677302296478</c:v>
                </c:pt>
                <c:pt idx="14">
                  <c:v>0.37003954089153374</c:v>
                </c:pt>
                <c:pt idx="15">
                  <c:v>0.27362203040303484</c:v>
                </c:pt>
                <c:pt idx="16">
                  <c:v>0.31277733997259344</c:v>
                </c:pt>
                <c:pt idx="17">
                  <c:v>0.35665398677446219</c:v>
                </c:pt>
                <c:pt idx="18">
                  <c:v>0.36360748200256382</c:v>
                </c:pt>
                <c:pt idx="19">
                  <c:v>0.31884584503020824</c:v>
                </c:pt>
                <c:pt idx="20">
                  <c:v>0.38995656661039318</c:v>
                </c:pt>
                <c:pt idx="21">
                  <c:v>0.40247588097939929</c:v>
                </c:pt>
                <c:pt idx="22">
                  <c:v>0.36394417098596626</c:v>
                </c:pt>
                <c:pt idx="23">
                  <c:v>0.39778909984080163</c:v>
                </c:pt>
                <c:pt idx="24">
                  <c:v>0.3021628899970224</c:v>
                </c:pt>
                <c:pt idx="25">
                  <c:v>0.37397431054791513</c:v>
                </c:pt>
                <c:pt idx="26">
                  <c:v>0.46358880140539954</c:v>
                </c:pt>
                <c:pt idx="27">
                  <c:v>0.40607174399565543</c:v>
                </c:pt>
                <c:pt idx="28">
                  <c:v>0.48346585525104174</c:v>
                </c:pt>
                <c:pt idx="29">
                  <c:v>0.32646967061436433</c:v>
                </c:pt>
                <c:pt idx="30">
                  <c:v>0.42899519314865536</c:v>
                </c:pt>
                <c:pt idx="31">
                  <c:v>0.47176112428718636</c:v>
                </c:pt>
                <c:pt idx="32">
                  <c:v>0.37196717208134705</c:v>
                </c:pt>
                <c:pt idx="33">
                  <c:v>0.34265023078609697</c:v>
                </c:pt>
                <c:pt idx="34">
                  <c:v>0.32384737474402853</c:v>
                </c:pt>
                <c:pt idx="35">
                  <c:v>0.4881055434579113</c:v>
                </c:pt>
                <c:pt idx="36">
                  <c:v>0.33643215291159317</c:v>
                </c:pt>
                <c:pt idx="37">
                  <c:v>0.42148312910524227</c:v>
                </c:pt>
                <c:pt idx="38">
                  <c:v>0.42220352484305618</c:v>
                </c:pt>
                <c:pt idx="39">
                  <c:v>0.52518530694022836</c:v>
                </c:pt>
                <c:pt idx="40">
                  <c:v>0.54650596852903432</c:v>
                </c:pt>
                <c:pt idx="41">
                  <c:v>0.48947695214801862</c:v>
                </c:pt>
                <c:pt idx="42">
                  <c:v>0.50644809891584375</c:v>
                </c:pt>
                <c:pt idx="43">
                  <c:v>0.38576381091332451</c:v>
                </c:pt>
                <c:pt idx="44">
                  <c:v>0.44948160529883924</c:v>
                </c:pt>
                <c:pt idx="45">
                  <c:v>0.45580644919514562</c:v>
                </c:pt>
                <c:pt idx="46">
                  <c:v>0.4543621153633291</c:v>
                </c:pt>
                <c:pt idx="47">
                  <c:v>0.43352110836126495</c:v>
                </c:pt>
                <c:pt idx="48">
                  <c:v>0.40399140218542257</c:v>
                </c:pt>
                <c:pt idx="49">
                  <c:v>0.55521610538946464</c:v>
                </c:pt>
                <c:pt idx="50">
                  <c:v>0.48245195451585238</c:v>
                </c:pt>
                <c:pt idx="51">
                  <c:v>0.4731741131363339</c:v>
                </c:pt>
                <c:pt idx="52">
                  <c:v>0.51951967165185131</c:v>
                </c:pt>
                <c:pt idx="53">
                  <c:v>0.41511262062638771</c:v>
                </c:pt>
                <c:pt idx="54">
                  <c:v>0.45260130303290319</c:v>
                </c:pt>
                <c:pt idx="55">
                  <c:v>0.55622470028081028</c:v>
                </c:pt>
                <c:pt idx="56">
                  <c:v>0.48481255703022103</c:v>
                </c:pt>
                <c:pt idx="57">
                  <c:v>0.56928873458728435</c:v>
                </c:pt>
                <c:pt idx="58">
                  <c:v>0.52996204185817208</c:v>
                </c:pt>
                <c:pt idx="59">
                  <c:v>0.55330924836206408</c:v>
                </c:pt>
                <c:pt idx="60">
                  <c:v>0.55872804994659631</c:v>
                </c:pt>
                <c:pt idx="61">
                  <c:v>0.46534027401391037</c:v>
                </c:pt>
                <c:pt idx="62">
                  <c:v>0.50302762380252086</c:v>
                </c:pt>
                <c:pt idx="63">
                  <c:v>0.42840755390746005</c:v>
                </c:pt>
                <c:pt idx="64">
                  <c:v>0.50246432558823573</c:v>
                </c:pt>
                <c:pt idx="65">
                  <c:v>0.55075506090900106</c:v>
                </c:pt>
                <c:pt idx="66">
                  <c:v>0.45937189019535313</c:v>
                </c:pt>
                <c:pt idx="67">
                  <c:v>0.53914949915427823</c:v>
                </c:pt>
                <c:pt idx="68">
                  <c:v>0.49215842496890833</c:v>
                </c:pt>
                <c:pt idx="69">
                  <c:v>0.46113536743319433</c:v>
                </c:pt>
                <c:pt idx="70">
                  <c:v>0.47005168091647548</c:v>
                </c:pt>
                <c:pt idx="71">
                  <c:v>0.46939180675180808</c:v>
                </c:pt>
                <c:pt idx="72">
                  <c:v>0.46319938865291216</c:v>
                </c:pt>
                <c:pt idx="73">
                  <c:v>0.43269966473186222</c:v>
                </c:pt>
                <c:pt idx="74">
                  <c:v>0.32981773361403738</c:v>
                </c:pt>
                <c:pt idx="75">
                  <c:v>0.39519484960473933</c:v>
                </c:pt>
                <c:pt idx="76">
                  <c:v>0.38469711164079173</c:v>
                </c:pt>
                <c:pt idx="77">
                  <c:v>0.49408789062438035</c:v>
                </c:pt>
                <c:pt idx="78">
                  <c:v>0.42926274777543943</c:v>
                </c:pt>
                <c:pt idx="79">
                  <c:v>0.47698960764371762</c:v>
                </c:pt>
                <c:pt idx="80">
                  <c:v>0.37789705837399762</c:v>
                </c:pt>
                <c:pt idx="81">
                  <c:v>0.50121069952283981</c:v>
                </c:pt>
                <c:pt idx="82">
                  <c:v>0.4888834752461157</c:v>
                </c:pt>
                <c:pt idx="83">
                  <c:v>0.40457558621533668</c:v>
                </c:pt>
                <c:pt idx="84">
                  <c:v>0.52135471497950614</c:v>
                </c:pt>
                <c:pt idx="85">
                  <c:v>0.45427090491042504</c:v>
                </c:pt>
                <c:pt idx="86">
                  <c:v>0.45557045940970936</c:v>
                </c:pt>
                <c:pt idx="87">
                  <c:v>0.58033657211451239</c:v>
                </c:pt>
                <c:pt idx="88">
                  <c:v>0.55456955100330863</c:v>
                </c:pt>
                <c:pt idx="89">
                  <c:v>0.55169824808218082</c:v>
                </c:pt>
                <c:pt idx="90">
                  <c:v>0.54693211919705687</c:v>
                </c:pt>
                <c:pt idx="91">
                  <c:v>0.53574902006610636</c:v>
                </c:pt>
                <c:pt idx="92">
                  <c:v>0.43889016454890567</c:v>
                </c:pt>
                <c:pt idx="93">
                  <c:v>0.53185854476963379</c:v>
                </c:pt>
                <c:pt idx="94">
                  <c:v>0.51857506723403834</c:v>
                </c:pt>
                <c:pt idx="95">
                  <c:v>0.5294505190181229</c:v>
                </c:pt>
                <c:pt idx="96">
                  <c:v>0.50551660254723885</c:v>
                </c:pt>
                <c:pt idx="97">
                  <c:v>0.48017463615508399</c:v>
                </c:pt>
                <c:pt idx="98">
                  <c:v>0.48051938607774819</c:v>
                </c:pt>
                <c:pt idx="99">
                  <c:v>0.5780588344728812</c:v>
                </c:pt>
                <c:pt idx="100">
                  <c:v>0.65321033465319411</c:v>
                </c:pt>
                <c:pt idx="101">
                  <c:v>0.48700686929855924</c:v>
                </c:pt>
                <c:pt idx="102">
                  <c:v>0.57688378358403392</c:v>
                </c:pt>
                <c:pt idx="103">
                  <c:v>0.57241262891419131</c:v>
                </c:pt>
                <c:pt idx="104">
                  <c:v>0.5805370274327939</c:v>
                </c:pt>
                <c:pt idx="105">
                  <c:v>0.61679007917678463</c:v>
                </c:pt>
                <c:pt idx="106">
                  <c:v>0.53687907084470687</c:v>
                </c:pt>
                <c:pt idx="107">
                  <c:v>0.34097055361062584</c:v>
                </c:pt>
                <c:pt idx="108">
                  <c:v>0.46126658705006313</c:v>
                </c:pt>
                <c:pt idx="109">
                  <c:v>0.25652774747090307</c:v>
                </c:pt>
                <c:pt idx="110">
                  <c:v>0.31092423533644004</c:v>
                </c:pt>
                <c:pt idx="111">
                  <c:v>0.21920680008581894</c:v>
                </c:pt>
                <c:pt idx="112">
                  <c:v>0.17220806107462816</c:v>
                </c:pt>
                <c:pt idx="113">
                  <c:v>0.20510728356597746</c:v>
                </c:pt>
                <c:pt idx="114">
                  <c:v>0.32288842823375524</c:v>
                </c:pt>
                <c:pt idx="115">
                  <c:v>0.48808551614338808</c:v>
                </c:pt>
                <c:pt idx="116">
                  <c:v>0.64035502484846307</c:v>
                </c:pt>
                <c:pt idx="117">
                  <c:v>0.69180844368626815</c:v>
                </c:pt>
                <c:pt idx="118">
                  <c:v>0.619834988090461</c:v>
                </c:pt>
                <c:pt idx="119">
                  <c:v>0.47870989073108378</c:v>
                </c:pt>
                <c:pt idx="120">
                  <c:v>0.49899130599340041</c:v>
                </c:pt>
                <c:pt idx="121">
                  <c:v>0.41228354616776602</c:v>
                </c:pt>
                <c:pt idx="122">
                  <c:v>0.41397737998389655</c:v>
                </c:pt>
                <c:pt idx="123">
                  <c:v>0.48115518083498071</c:v>
                </c:pt>
                <c:pt idx="124">
                  <c:v>0.4081842071097363</c:v>
                </c:pt>
                <c:pt idx="125">
                  <c:v>0.4545334081269124</c:v>
                </c:pt>
                <c:pt idx="126">
                  <c:v>0.39910728901334885</c:v>
                </c:pt>
                <c:pt idx="127">
                  <c:v>0.37333229559448339</c:v>
                </c:pt>
                <c:pt idx="128">
                  <c:v>0.33999205091197943</c:v>
                </c:pt>
                <c:pt idx="129">
                  <c:v>0.4373127875179374</c:v>
                </c:pt>
                <c:pt idx="130">
                  <c:v>0.32832882758018161</c:v>
                </c:pt>
                <c:pt idx="131">
                  <c:v>0.27864862063881729</c:v>
                </c:pt>
                <c:pt idx="132">
                  <c:v>0.2307693926514956</c:v>
                </c:pt>
                <c:pt idx="133">
                  <c:v>0.17056992635815377</c:v>
                </c:pt>
                <c:pt idx="134">
                  <c:v>0.31022798586950978</c:v>
                </c:pt>
                <c:pt idx="135">
                  <c:v>0.21598515914837002</c:v>
                </c:pt>
                <c:pt idx="136">
                  <c:v>0.30419262164009503</c:v>
                </c:pt>
                <c:pt idx="137">
                  <c:v>0.27836312950180836</c:v>
                </c:pt>
                <c:pt idx="138">
                  <c:v>0.42737269638348691</c:v>
                </c:pt>
                <c:pt idx="139">
                  <c:v>0.47222164390494531</c:v>
                </c:pt>
                <c:pt idx="140">
                  <c:v>0.49196948803983848</c:v>
                </c:pt>
                <c:pt idx="141">
                  <c:v>0.43440720546266814</c:v>
                </c:pt>
                <c:pt idx="142">
                  <c:v>0.51093706187122123</c:v>
                </c:pt>
                <c:pt idx="143">
                  <c:v>0.51835865631621281</c:v>
                </c:pt>
                <c:pt idx="144">
                  <c:v>0.5580110185114826</c:v>
                </c:pt>
                <c:pt idx="145">
                  <c:v>0.58586189969282665</c:v>
                </c:pt>
                <c:pt idx="146">
                  <c:v>0.45057590975793088</c:v>
                </c:pt>
                <c:pt idx="147">
                  <c:v>0.5981295027608613</c:v>
                </c:pt>
                <c:pt idx="148">
                  <c:v>0.55439479503672828</c:v>
                </c:pt>
                <c:pt idx="149">
                  <c:v>0.6268255123850639</c:v>
                </c:pt>
                <c:pt idx="150">
                  <c:v>0.6321748177949793</c:v>
                </c:pt>
                <c:pt idx="151">
                  <c:v>0.58878164362972596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319184"/>
        <c:axId val="272671872"/>
      </c:lineChart>
      <c:dateAx>
        <c:axId val="271319184"/>
        <c:scaling>
          <c:orientation val="minMax"/>
        </c:scaling>
        <c:delete val="0"/>
        <c:axPos val="b"/>
        <c:numFmt formatCode="mm/dd/yy;@" sourceLinked="1"/>
        <c:majorTickMark val="out"/>
        <c:minorTickMark val="none"/>
        <c:tickLblPos val="nextTo"/>
        <c:crossAx val="272671872"/>
        <c:crosses val="autoZero"/>
        <c:auto val="1"/>
        <c:lblOffset val="100"/>
        <c:baseTimeUnit val="days"/>
      </c:dateAx>
      <c:valAx>
        <c:axId val="2726718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71319184"/>
        <c:crosses val="autoZero"/>
        <c:crossBetween val="between"/>
      </c:valAx>
    </c:plotArea>
    <c:plotVisOnly val="1"/>
    <c:dispBlanksAs val="gap"/>
    <c:showDLblsOverMax val="0"/>
  </c:chart>
  <c:spPr>
    <a:solidFill>
      <a:srgbClr val="FF1919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Shift 3</c:v>
          </c:tx>
          <c:marker>
            <c:symbol val="none"/>
          </c:marker>
          <c:trendline>
            <c:spPr>
              <a:ln w="31750">
                <a:solidFill>
                  <a:srgbClr val="FF0000"/>
                </a:solidFill>
              </a:ln>
            </c:spPr>
            <c:trendlineType val="poly"/>
            <c:order val="6"/>
            <c:dispRSqr val="0"/>
            <c:dispEq val="0"/>
          </c:trendline>
          <c:cat>
            <c:numRef>
              <c:f>'Trend - Mazat 1'!$A$4:$A$155</c:f>
              <c:numCache>
                <c:formatCode>mm/dd/yy;@</c:formatCode>
                <c:ptCount val="152"/>
                <c:pt idx="0">
                  <c:v>41277</c:v>
                </c:pt>
                <c:pt idx="1">
                  <c:v>41278</c:v>
                </c:pt>
                <c:pt idx="2">
                  <c:v>41279</c:v>
                </c:pt>
                <c:pt idx="3">
                  <c:v>41280</c:v>
                </c:pt>
                <c:pt idx="4">
                  <c:v>41281</c:v>
                </c:pt>
                <c:pt idx="5">
                  <c:v>41282</c:v>
                </c:pt>
                <c:pt idx="6">
                  <c:v>41283</c:v>
                </c:pt>
                <c:pt idx="7">
                  <c:v>41284</c:v>
                </c:pt>
                <c:pt idx="8">
                  <c:v>41285</c:v>
                </c:pt>
                <c:pt idx="9">
                  <c:v>41286</c:v>
                </c:pt>
                <c:pt idx="10">
                  <c:v>41287</c:v>
                </c:pt>
                <c:pt idx="11">
                  <c:v>41288</c:v>
                </c:pt>
                <c:pt idx="12">
                  <c:v>41289</c:v>
                </c:pt>
                <c:pt idx="13">
                  <c:v>41290</c:v>
                </c:pt>
                <c:pt idx="14">
                  <c:v>41291</c:v>
                </c:pt>
                <c:pt idx="15">
                  <c:v>41292</c:v>
                </c:pt>
                <c:pt idx="16">
                  <c:v>41293</c:v>
                </c:pt>
                <c:pt idx="17">
                  <c:v>41294</c:v>
                </c:pt>
                <c:pt idx="18">
                  <c:v>41295</c:v>
                </c:pt>
                <c:pt idx="19">
                  <c:v>41296</c:v>
                </c:pt>
                <c:pt idx="20">
                  <c:v>41297</c:v>
                </c:pt>
                <c:pt idx="21">
                  <c:v>41298</c:v>
                </c:pt>
                <c:pt idx="22">
                  <c:v>41299</c:v>
                </c:pt>
                <c:pt idx="23">
                  <c:v>41300</c:v>
                </c:pt>
                <c:pt idx="24">
                  <c:v>41301</c:v>
                </c:pt>
                <c:pt idx="25">
                  <c:v>41302</c:v>
                </c:pt>
                <c:pt idx="26">
                  <c:v>41303</c:v>
                </c:pt>
                <c:pt idx="27">
                  <c:v>41304</c:v>
                </c:pt>
                <c:pt idx="28">
                  <c:v>41305</c:v>
                </c:pt>
                <c:pt idx="29">
                  <c:v>41306</c:v>
                </c:pt>
                <c:pt idx="30">
                  <c:v>41307</c:v>
                </c:pt>
                <c:pt idx="31">
                  <c:v>41308</c:v>
                </c:pt>
                <c:pt idx="32">
                  <c:v>41309</c:v>
                </c:pt>
                <c:pt idx="33">
                  <c:v>41310</c:v>
                </c:pt>
                <c:pt idx="34">
                  <c:v>41311</c:v>
                </c:pt>
                <c:pt idx="35">
                  <c:v>41312</c:v>
                </c:pt>
                <c:pt idx="36">
                  <c:v>41313</c:v>
                </c:pt>
                <c:pt idx="37">
                  <c:v>41314</c:v>
                </c:pt>
                <c:pt idx="38">
                  <c:v>41315</c:v>
                </c:pt>
                <c:pt idx="39">
                  <c:v>41316</c:v>
                </c:pt>
                <c:pt idx="40">
                  <c:v>41317</c:v>
                </c:pt>
                <c:pt idx="41">
                  <c:v>41318</c:v>
                </c:pt>
                <c:pt idx="42">
                  <c:v>41319</c:v>
                </c:pt>
                <c:pt idx="43">
                  <c:v>41320</c:v>
                </c:pt>
                <c:pt idx="44">
                  <c:v>41321</c:v>
                </c:pt>
                <c:pt idx="45">
                  <c:v>41322</c:v>
                </c:pt>
                <c:pt idx="46">
                  <c:v>41323</c:v>
                </c:pt>
                <c:pt idx="47">
                  <c:v>41324</c:v>
                </c:pt>
                <c:pt idx="48">
                  <c:v>41325</c:v>
                </c:pt>
                <c:pt idx="49">
                  <c:v>41326</c:v>
                </c:pt>
                <c:pt idx="50">
                  <c:v>41327</c:v>
                </c:pt>
                <c:pt idx="51">
                  <c:v>41328</c:v>
                </c:pt>
                <c:pt idx="52">
                  <c:v>41329</c:v>
                </c:pt>
                <c:pt idx="53">
                  <c:v>41330</c:v>
                </c:pt>
                <c:pt idx="54">
                  <c:v>41331</c:v>
                </c:pt>
                <c:pt idx="55">
                  <c:v>41332</c:v>
                </c:pt>
                <c:pt idx="56">
                  <c:v>41333</c:v>
                </c:pt>
                <c:pt idx="57">
                  <c:v>41334</c:v>
                </c:pt>
                <c:pt idx="58">
                  <c:v>41335</c:v>
                </c:pt>
                <c:pt idx="59">
                  <c:v>41336</c:v>
                </c:pt>
                <c:pt idx="60">
                  <c:v>41337</c:v>
                </c:pt>
                <c:pt idx="61">
                  <c:v>41338</c:v>
                </c:pt>
                <c:pt idx="62">
                  <c:v>41339</c:v>
                </c:pt>
                <c:pt idx="63">
                  <c:v>41340</c:v>
                </c:pt>
                <c:pt idx="64">
                  <c:v>41341</c:v>
                </c:pt>
                <c:pt idx="65">
                  <c:v>41342</c:v>
                </c:pt>
                <c:pt idx="66">
                  <c:v>41343</c:v>
                </c:pt>
                <c:pt idx="67">
                  <c:v>41344</c:v>
                </c:pt>
                <c:pt idx="68">
                  <c:v>41345</c:v>
                </c:pt>
                <c:pt idx="69">
                  <c:v>41346</c:v>
                </c:pt>
                <c:pt idx="70">
                  <c:v>41347</c:v>
                </c:pt>
                <c:pt idx="71">
                  <c:v>41348</c:v>
                </c:pt>
                <c:pt idx="72">
                  <c:v>41349</c:v>
                </c:pt>
                <c:pt idx="73">
                  <c:v>41350</c:v>
                </c:pt>
                <c:pt idx="74">
                  <c:v>41351</c:v>
                </c:pt>
                <c:pt idx="75">
                  <c:v>41352</c:v>
                </c:pt>
                <c:pt idx="76">
                  <c:v>41353</c:v>
                </c:pt>
                <c:pt idx="77">
                  <c:v>41354</c:v>
                </c:pt>
                <c:pt idx="78">
                  <c:v>41355</c:v>
                </c:pt>
                <c:pt idx="79">
                  <c:v>41356</c:v>
                </c:pt>
                <c:pt idx="80">
                  <c:v>41357</c:v>
                </c:pt>
                <c:pt idx="81">
                  <c:v>41358</c:v>
                </c:pt>
                <c:pt idx="82">
                  <c:v>41359</c:v>
                </c:pt>
                <c:pt idx="83">
                  <c:v>41360</c:v>
                </c:pt>
                <c:pt idx="84">
                  <c:v>41361</c:v>
                </c:pt>
                <c:pt idx="85">
                  <c:v>41362</c:v>
                </c:pt>
                <c:pt idx="86">
                  <c:v>41363</c:v>
                </c:pt>
                <c:pt idx="87">
                  <c:v>41364</c:v>
                </c:pt>
                <c:pt idx="88">
                  <c:v>41365</c:v>
                </c:pt>
                <c:pt idx="89">
                  <c:v>41366</c:v>
                </c:pt>
                <c:pt idx="90">
                  <c:v>41367</c:v>
                </c:pt>
                <c:pt idx="91">
                  <c:v>41368</c:v>
                </c:pt>
                <c:pt idx="92">
                  <c:v>41369</c:v>
                </c:pt>
                <c:pt idx="93">
                  <c:v>41370</c:v>
                </c:pt>
                <c:pt idx="94">
                  <c:v>41371</c:v>
                </c:pt>
                <c:pt idx="95">
                  <c:v>41372</c:v>
                </c:pt>
                <c:pt idx="96">
                  <c:v>41373</c:v>
                </c:pt>
                <c:pt idx="97">
                  <c:v>41374</c:v>
                </c:pt>
                <c:pt idx="98">
                  <c:v>41375</c:v>
                </c:pt>
                <c:pt idx="99">
                  <c:v>41376</c:v>
                </c:pt>
                <c:pt idx="100">
                  <c:v>41377</c:v>
                </c:pt>
                <c:pt idx="101">
                  <c:v>41378</c:v>
                </c:pt>
                <c:pt idx="102">
                  <c:v>41379</c:v>
                </c:pt>
                <c:pt idx="103">
                  <c:v>41380</c:v>
                </c:pt>
                <c:pt idx="104">
                  <c:v>41381</c:v>
                </c:pt>
                <c:pt idx="105">
                  <c:v>41382</c:v>
                </c:pt>
                <c:pt idx="106">
                  <c:v>41383</c:v>
                </c:pt>
                <c:pt idx="107">
                  <c:v>41384</c:v>
                </c:pt>
                <c:pt idx="108">
                  <c:v>41385</c:v>
                </c:pt>
                <c:pt idx="109">
                  <c:v>41386</c:v>
                </c:pt>
                <c:pt idx="110">
                  <c:v>41387</c:v>
                </c:pt>
                <c:pt idx="111">
                  <c:v>41388</c:v>
                </c:pt>
                <c:pt idx="112">
                  <c:v>41389</c:v>
                </c:pt>
                <c:pt idx="113">
                  <c:v>41390</c:v>
                </c:pt>
                <c:pt idx="114">
                  <c:v>41391</c:v>
                </c:pt>
                <c:pt idx="115">
                  <c:v>41392</c:v>
                </c:pt>
                <c:pt idx="116">
                  <c:v>41393</c:v>
                </c:pt>
                <c:pt idx="117">
                  <c:v>41394</c:v>
                </c:pt>
                <c:pt idx="118">
                  <c:v>41395</c:v>
                </c:pt>
                <c:pt idx="119">
                  <c:v>41396</c:v>
                </c:pt>
                <c:pt idx="120">
                  <c:v>41397</c:v>
                </c:pt>
                <c:pt idx="121">
                  <c:v>41398</c:v>
                </c:pt>
                <c:pt idx="122">
                  <c:v>41399</c:v>
                </c:pt>
                <c:pt idx="123">
                  <c:v>41400</c:v>
                </c:pt>
                <c:pt idx="124">
                  <c:v>41401</c:v>
                </c:pt>
                <c:pt idx="125">
                  <c:v>41402</c:v>
                </c:pt>
                <c:pt idx="126">
                  <c:v>41403</c:v>
                </c:pt>
                <c:pt idx="127">
                  <c:v>41404</c:v>
                </c:pt>
                <c:pt idx="128">
                  <c:v>41405</c:v>
                </c:pt>
                <c:pt idx="129">
                  <c:v>41406</c:v>
                </c:pt>
                <c:pt idx="130">
                  <c:v>41407</c:v>
                </c:pt>
                <c:pt idx="131">
                  <c:v>41408</c:v>
                </c:pt>
                <c:pt idx="132">
                  <c:v>41409</c:v>
                </c:pt>
                <c:pt idx="133">
                  <c:v>41410</c:v>
                </c:pt>
                <c:pt idx="134">
                  <c:v>41411</c:v>
                </c:pt>
                <c:pt idx="135">
                  <c:v>41412</c:v>
                </c:pt>
                <c:pt idx="136">
                  <c:v>41413</c:v>
                </c:pt>
                <c:pt idx="137">
                  <c:v>41414</c:v>
                </c:pt>
                <c:pt idx="138">
                  <c:v>41415</c:v>
                </c:pt>
                <c:pt idx="139">
                  <c:v>41416</c:v>
                </c:pt>
                <c:pt idx="140">
                  <c:v>41417</c:v>
                </c:pt>
                <c:pt idx="141">
                  <c:v>41418</c:v>
                </c:pt>
                <c:pt idx="142">
                  <c:v>41419</c:v>
                </c:pt>
                <c:pt idx="143">
                  <c:v>41420</c:v>
                </c:pt>
                <c:pt idx="144">
                  <c:v>41421</c:v>
                </c:pt>
                <c:pt idx="145">
                  <c:v>41422</c:v>
                </c:pt>
                <c:pt idx="146">
                  <c:v>41423</c:v>
                </c:pt>
                <c:pt idx="147">
                  <c:v>41424</c:v>
                </c:pt>
                <c:pt idx="148">
                  <c:v>41425</c:v>
                </c:pt>
                <c:pt idx="149">
                  <c:v>41426</c:v>
                </c:pt>
                <c:pt idx="150">
                  <c:v>41427</c:v>
                </c:pt>
                <c:pt idx="151">
                  <c:v>41428</c:v>
                </c:pt>
              </c:numCache>
            </c:numRef>
          </c:cat>
          <c:val>
            <c:numRef>
              <c:f>'Trend - Mazat 1'!$H$4:$H$155</c:f>
              <c:numCache>
                <c:formatCode>0%</c:formatCode>
                <c:ptCount val="152"/>
                <c:pt idx="0">
                  <c:v>0.17881587243712405</c:v>
                </c:pt>
                <c:pt idx="1">
                  <c:v>8.4515327540708007E-2</c:v>
                </c:pt>
                <c:pt idx="2">
                  <c:v>7.941473807673799E-2</c:v>
                </c:pt>
                <c:pt idx="3">
                  <c:v>0.30668404672053001</c:v>
                </c:pt>
                <c:pt idx="4">
                  <c:v>0.16261737805786963</c:v>
                </c:pt>
                <c:pt idx="5">
                  <c:v>0.21264811498085617</c:v>
                </c:pt>
                <c:pt idx="6">
                  <c:v>8.6089345492810332E-2</c:v>
                </c:pt>
                <c:pt idx="7">
                  <c:v>0.17447451762780691</c:v>
                </c:pt>
                <c:pt idx="8">
                  <c:v>0.30101619433184051</c:v>
                </c:pt>
                <c:pt idx="9">
                  <c:v>0.30889510682209614</c:v>
                </c:pt>
                <c:pt idx="10">
                  <c:v>0.27980903137053398</c:v>
                </c:pt>
                <c:pt idx="11">
                  <c:v>0.4028181200876339</c:v>
                </c:pt>
                <c:pt idx="12">
                  <c:v>0.46812510376742528</c:v>
                </c:pt>
                <c:pt idx="13">
                  <c:v>0.41140998015542324</c:v>
                </c:pt>
                <c:pt idx="14">
                  <c:v>0.52400293287512079</c:v>
                </c:pt>
                <c:pt idx="15">
                  <c:v>0.47451953744678116</c:v>
                </c:pt>
                <c:pt idx="16">
                  <c:v>0.49142317894144588</c:v>
                </c:pt>
                <c:pt idx="17">
                  <c:v>0.56800611158221392</c:v>
                </c:pt>
                <c:pt idx="18">
                  <c:v>0.64857834128048664</c:v>
                </c:pt>
                <c:pt idx="19">
                  <c:v>0.57999999999999996</c:v>
                </c:pt>
                <c:pt idx="20">
                  <c:v>0.73613830112858047</c:v>
                </c:pt>
                <c:pt idx="21">
                  <c:v>0.62</c:v>
                </c:pt>
                <c:pt idx="22">
                  <c:v>0.64784133783549258</c:v>
                </c:pt>
                <c:pt idx="23">
                  <c:v>0.55859386322981819</c:v>
                </c:pt>
                <c:pt idx="24">
                  <c:v>0.63840914171566787</c:v>
                </c:pt>
                <c:pt idx="25">
                  <c:v>0.51066013044527403</c:v>
                </c:pt>
                <c:pt idx="26">
                  <c:v>0.55803607335407124</c:v>
                </c:pt>
                <c:pt idx="27">
                  <c:v>0.50700902741684706</c:v>
                </c:pt>
                <c:pt idx="28">
                  <c:v>0.52682517651085203</c:v>
                </c:pt>
                <c:pt idx="29">
                  <c:v>0.47915050468401538</c:v>
                </c:pt>
                <c:pt idx="30">
                  <c:v>0.34734596386585354</c:v>
                </c:pt>
                <c:pt idx="31">
                  <c:v>0.48134460239674653</c:v>
                </c:pt>
                <c:pt idx="32">
                  <c:v>0.39467143133033172</c:v>
                </c:pt>
                <c:pt idx="33">
                  <c:v>0.36957855889157093</c:v>
                </c:pt>
                <c:pt idx="34">
                  <c:v>0.42130722629616829</c:v>
                </c:pt>
                <c:pt idx="35">
                  <c:v>0.40525350988530734</c:v>
                </c:pt>
                <c:pt idx="36">
                  <c:v>0.5543669173726915</c:v>
                </c:pt>
                <c:pt idx="37">
                  <c:v>0.62012069618034804</c:v>
                </c:pt>
                <c:pt idx="38">
                  <c:v>0.71340023871616198</c:v>
                </c:pt>
                <c:pt idx="39">
                  <c:v>0.59</c:v>
                </c:pt>
                <c:pt idx="40">
                  <c:v>0.6194772279363161</c:v>
                </c:pt>
                <c:pt idx="41">
                  <c:v>0.56496002290406211</c:v>
                </c:pt>
                <c:pt idx="42">
                  <c:v>0.55562304116588601</c:v>
                </c:pt>
                <c:pt idx="43">
                  <c:v>0.60485621613880292</c:v>
                </c:pt>
                <c:pt idx="44">
                  <c:v>0.59019548091160123</c:v>
                </c:pt>
                <c:pt idx="45">
                  <c:v>0.58777588124672286</c:v>
                </c:pt>
                <c:pt idx="46">
                  <c:v>0.52173327336693842</c:v>
                </c:pt>
                <c:pt idx="47">
                  <c:v>0.53214340849334207</c:v>
                </c:pt>
                <c:pt idx="48">
                  <c:v>0.40284338758887667</c:v>
                </c:pt>
                <c:pt idx="49">
                  <c:v>0.5560775733598371</c:v>
                </c:pt>
                <c:pt idx="50">
                  <c:v>0.59080851677268997</c:v>
                </c:pt>
                <c:pt idx="51">
                  <c:v>0.5920937378960005</c:v>
                </c:pt>
                <c:pt idx="52">
                  <c:v>0.43189281422188991</c:v>
                </c:pt>
                <c:pt idx="53">
                  <c:v>0.5024202628301091</c:v>
                </c:pt>
                <c:pt idx="54">
                  <c:v>0.51726710269574849</c:v>
                </c:pt>
                <c:pt idx="55">
                  <c:v>0.54676812401699704</c:v>
                </c:pt>
                <c:pt idx="56">
                  <c:v>0.50761427133048875</c:v>
                </c:pt>
                <c:pt idx="57">
                  <c:v>0.52336295395087884</c:v>
                </c:pt>
                <c:pt idx="58">
                  <c:v>0.52627668228953861</c:v>
                </c:pt>
                <c:pt idx="59">
                  <c:v>0.44075179593157826</c:v>
                </c:pt>
                <c:pt idx="60">
                  <c:v>0.56378886645748638</c:v>
                </c:pt>
                <c:pt idx="61">
                  <c:v>0.46759015821223043</c:v>
                </c:pt>
                <c:pt idx="62">
                  <c:v>0.57403854290446565</c:v>
                </c:pt>
                <c:pt idx="63">
                  <c:v>0.50159528394458652</c:v>
                </c:pt>
                <c:pt idx="64">
                  <c:v>0.58551856692857274</c:v>
                </c:pt>
                <c:pt idx="65">
                  <c:v>0.53262216863141876</c:v>
                </c:pt>
                <c:pt idx="66">
                  <c:v>0.55731627055352484</c:v>
                </c:pt>
                <c:pt idx="67">
                  <c:v>0.50552159615521264</c:v>
                </c:pt>
                <c:pt idx="68">
                  <c:v>0.45523801112465562</c:v>
                </c:pt>
                <c:pt idx="69">
                  <c:v>0.49946810992114349</c:v>
                </c:pt>
                <c:pt idx="70">
                  <c:v>0.4494822215544883</c:v>
                </c:pt>
                <c:pt idx="71">
                  <c:v>0.53572226059850281</c:v>
                </c:pt>
                <c:pt idx="72">
                  <c:v>0.57729942504419429</c:v>
                </c:pt>
                <c:pt idx="73">
                  <c:v>0.47403216322251268</c:v>
                </c:pt>
                <c:pt idx="74">
                  <c:v>0.63298118130530479</c:v>
                </c:pt>
                <c:pt idx="75">
                  <c:v>0.45682008671561297</c:v>
                </c:pt>
                <c:pt idx="76">
                  <c:v>0.44541054572970812</c:v>
                </c:pt>
                <c:pt idx="77">
                  <c:v>0.60645107835647649</c:v>
                </c:pt>
                <c:pt idx="78">
                  <c:v>0.5517765817889273</c:v>
                </c:pt>
                <c:pt idx="79">
                  <c:v>0.63201155879154514</c:v>
                </c:pt>
                <c:pt idx="80">
                  <c:v>0.61151970176679127</c:v>
                </c:pt>
                <c:pt idx="81">
                  <c:v>0.46554200134263274</c:v>
                </c:pt>
                <c:pt idx="82">
                  <c:v>0.49977662172819787</c:v>
                </c:pt>
                <c:pt idx="83">
                  <c:v>0.45172715445409345</c:v>
                </c:pt>
                <c:pt idx="84">
                  <c:v>0.62235578332007835</c:v>
                </c:pt>
                <c:pt idx="85">
                  <c:v>0.48442030223762506</c:v>
                </c:pt>
                <c:pt idx="86">
                  <c:v>0.53285105267957866</c:v>
                </c:pt>
                <c:pt idx="87">
                  <c:v>0.65666681898709878</c:v>
                </c:pt>
                <c:pt idx="88">
                  <c:v>0.60163470304939914</c:v>
                </c:pt>
                <c:pt idx="89">
                  <c:v>0.56004700780473105</c:v>
                </c:pt>
                <c:pt idx="90">
                  <c:v>0.50488596484265647</c:v>
                </c:pt>
                <c:pt idx="91">
                  <c:v>0.59258265902017948</c:v>
                </c:pt>
                <c:pt idx="92">
                  <c:v>0.59278715549431027</c:v>
                </c:pt>
                <c:pt idx="93">
                  <c:v>0.49769632187786922</c:v>
                </c:pt>
                <c:pt idx="94">
                  <c:v>0.64553450211396957</c:v>
                </c:pt>
                <c:pt idx="95">
                  <c:v>0.50874444719863843</c:v>
                </c:pt>
                <c:pt idx="96">
                  <c:v>0.49701607097232375</c:v>
                </c:pt>
                <c:pt idx="97">
                  <c:v>0.54122380976843432</c:v>
                </c:pt>
                <c:pt idx="98">
                  <c:v>0.53324387470384793</c:v>
                </c:pt>
                <c:pt idx="99">
                  <c:v>0.51048883558003766</c:v>
                </c:pt>
                <c:pt idx="100">
                  <c:v>0.64998002068911798</c:v>
                </c:pt>
                <c:pt idx="101">
                  <c:v>0.66525632649173483</c:v>
                </c:pt>
                <c:pt idx="102">
                  <c:v>0.52815702468696446</c:v>
                </c:pt>
                <c:pt idx="103">
                  <c:v>0.56609653568580987</c:v>
                </c:pt>
                <c:pt idx="104">
                  <c:v>0.61729222804739114</c:v>
                </c:pt>
                <c:pt idx="105">
                  <c:v>0.6647039401669983</c:v>
                </c:pt>
                <c:pt idx="106">
                  <c:v>0.56290908786726734</c:v>
                </c:pt>
                <c:pt idx="107">
                  <c:v>0.60997663415718595</c:v>
                </c:pt>
                <c:pt idx="108">
                  <c:v>0.51862082688582811</c:v>
                </c:pt>
                <c:pt idx="109">
                  <c:v>0.49940136775445082</c:v>
                </c:pt>
                <c:pt idx="110">
                  <c:v>0.66196984579333851</c:v>
                </c:pt>
                <c:pt idx="111">
                  <c:v>0.55297587974550177</c:v>
                </c:pt>
                <c:pt idx="112">
                  <c:v>0.63884348344479092</c:v>
                </c:pt>
                <c:pt idx="113">
                  <c:v>0.57492830655855465</c:v>
                </c:pt>
                <c:pt idx="114">
                  <c:v>0.52200819807692467</c:v>
                </c:pt>
                <c:pt idx="115">
                  <c:v>0.47843244491202847</c:v>
                </c:pt>
                <c:pt idx="116">
                  <c:v>0.44053149384191476</c:v>
                </c:pt>
                <c:pt idx="117">
                  <c:v>0.44485239615620781</c:v>
                </c:pt>
                <c:pt idx="118">
                  <c:v>0.50647924562569435</c:v>
                </c:pt>
                <c:pt idx="119">
                  <c:v>0.37870640078109225</c:v>
                </c:pt>
                <c:pt idx="120">
                  <c:v>0.44300391304114134</c:v>
                </c:pt>
                <c:pt idx="121">
                  <c:v>0.38096788146164179</c:v>
                </c:pt>
                <c:pt idx="122">
                  <c:v>0.37490290063711357</c:v>
                </c:pt>
                <c:pt idx="123">
                  <c:v>0.23850967697626274</c:v>
                </c:pt>
                <c:pt idx="124">
                  <c:v>0.38475684804141069</c:v>
                </c:pt>
                <c:pt idx="125">
                  <c:v>0.15080738680359557</c:v>
                </c:pt>
                <c:pt idx="126">
                  <c:v>0.26644952901462909</c:v>
                </c:pt>
                <c:pt idx="127">
                  <c:v>0.13286488680641884</c:v>
                </c:pt>
                <c:pt idx="128">
                  <c:v>0.17683556245477466</c:v>
                </c:pt>
                <c:pt idx="129">
                  <c:v>0.23</c:v>
                </c:pt>
                <c:pt idx="130">
                  <c:v>0.34</c:v>
                </c:pt>
                <c:pt idx="131">
                  <c:v>9.2692121170456054E-2</c:v>
                </c:pt>
                <c:pt idx="132">
                  <c:v>0.28621655688658348</c:v>
                </c:pt>
                <c:pt idx="133">
                  <c:v>0.19464637878656504</c:v>
                </c:pt>
                <c:pt idx="134">
                  <c:v>0.32567297610387419</c:v>
                </c:pt>
                <c:pt idx="135">
                  <c:v>0.36971077854411077</c:v>
                </c:pt>
                <c:pt idx="136">
                  <c:v>0.3630473328927572</c:v>
                </c:pt>
                <c:pt idx="137">
                  <c:v>0.35476186334978072</c:v>
                </c:pt>
                <c:pt idx="138">
                  <c:v>0.39829362856476497</c:v>
                </c:pt>
                <c:pt idx="139">
                  <c:v>0.42771641904607288</c:v>
                </c:pt>
                <c:pt idx="140">
                  <c:v>0.46870989943173186</c:v>
                </c:pt>
                <c:pt idx="141">
                  <c:v>0.44208302086911028</c:v>
                </c:pt>
                <c:pt idx="142">
                  <c:v>0.49306088825552313</c:v>
                </c:pt>
                <c:pt idx="143">
                  <c:v>0.59818659287557963</c:v>
                </c:pt>
                <c:pt idx="144">
                  <c:v>0.48064318570827452</c:v>
                </c:pt>
                <c:pt idx="145">
                  <c:v>0.59763606353644061</c:v>
                </c:pt>
                <c:pt idx="146">
                  <c:v>0.57719661715680992</c:v>
                </c:pt>
                <c:pt idx="147">
                  <c:v>0.60449275930372881</c:v>
                </c:pt>
                <c:pt idx="148">
                  <c:v>0.55602223190588473</c:v>
                </c:pt>
                <c:pt idx="149">
                  <c:v>0.67699560237028344</c:v>
                </c:pt>
                <c:pt idx="150">
                  <c:v>0.72134568046977177</c:v>
                </c:pt>
                <c:pt idx="151">
                  <c:v>0.66261603976570016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672656"/>
        <c:axId val="272673048"/>
      </c:lineChart>
      <c:dateAx>
        <c:axId val="272672656"/>
        <c:scaling>
          <c:orientation val="minMax"/>
        </c:scaling>
        <c:delete val="0"/>
        <c:axPos val="b"/>
        <c:numFmt formatCode="mm/dd/yy;@" sourceLinked="1"/>
        <c:majorTickMark val="out"/>
        <c:minorTickMark val="none"/>
        <c:tickLblPos val="nextTo"/>
        <c:crossAx val="272673048"/>
        <c:crosses val="autoZero"/>
        <c:auto val="1"/>
        <c:lblOffset val="100"/>
        <c:baseTimeUnit val="days"/>
      </c:dateAx>
      <c:valAx>
        <c:axId val="27267304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72672656"/>
        <c:crosses val="autoZero"/>
        <c:crossBetween val="between"/>
      </c:valAx>
    </c:plotArea>
    <c:plotVisOnly val="1"/>
    <c:dispBlanksAs val="gap"/>
    <c:showDLblsOverMax val="0"/>
  </c:chart>
  <c:spPr>
    <a:solidFill>
      <a:srgbClr val="FF3333"/>
    </a:solidFill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Shift 1</c:v>
          </c:tx>
          <c:marker>
            <c:symbol val="none"/>
          </c:marker>
          <c:trendline>
            <c:spPr>
              <a:ln w="31750">
                <a:solidFill>
                  <a:srgbClr val="FF0000"/>
                </a:solidFill>
              </a:ln>
            </c:spPr>
            <c:trendlineType val="poly"/>
            <c:order val="6"/>
            <c:dispRSqr val="0"/>
            <c:dispEq val="0"/>
          </c:trendline>
          <c:cat>
            <c:numRef>
              <c:f>'Trend - Mazat 1'!$A$4:$A$155</c:f>
              <c:numCache>
                <c:formatCode>mm/dd/yy;@</c:formatCode>
                <c:ptCount val="152"/>
                <c:pt idx="0">
                  <c:v>41277</c:v>
                </c:pt>
                <c:pt idx="1">
                  <c:v>41278</c:v>
                </c:pt>
                <c:pt idx="2">
                  <c:v>41279</c:v>
                </c:pt>
                <c:pt idx="3">
                  <c:v>41280</c:v>
                </c:pt>
                <c:pt idx="4">
                  <c:v>41281</c:v>
                </c:pt>
                <c:pt idx="5">
                  <c:v>41282</c:v>
                </c:pt>
                <c:pt idx="6">
                  <c:v>41283</c:v>
                </c:pt>
                <c:pt idx="7">
                  <c:v>41284</c:v>
                </c:pt>
                <c:pt idx="8">
                  <c:v>41285</c:v>
                </c:pt>
                <c:pt idx="9">
                  <c:v>41286</c:v>
                </c:pt>
                <c:pt idx="10">
                  <c:v>41287</c:v>
                </c:pt>
                <c:pt idx="11">
                  <c:v>41288</c:v>
                </c:pt>
                <c:pt idx="12">
                  <c:v>41289</c:v>
                </c:pt>
                <c:pt idx="13">
                  <c:v>41290</c:v>
                </c:pt>
                <c:pt idx="14">
                  <c:v>41291</c:v>
                </c:pt>
                <c:pt idx="15">
                  <c:v>41292</c:v>
                </c:pt>
                <c:pt idx="16">
                  <c:v>41293</c:v>
                </c:pt>
                <c:pt idx="17">
                  <c:v>41294</c:v>
                </c:pt>
                <c:pt idx="18">
                  <c:v>41295</c:v>
                </c:pt>
                <c:pt idx="19">
                  <c:v>41296</c:v>
                </c:pt>
                <c:pt idx="20">
                  <c:v>41297</c:v>
                </c:pt>
                <c:pt idx="21">
                  <c:v>41298</c:v>
                </c:pt>
                <c:pt idx="22">
                  <c:v>41299</c:v>
                </c:pt>
                <c:pt idx="23">
                  <c:v>41300</c:v>
                </c:pt>
                <c:pt idx="24">
                  <c:v>41301</c:v>
                </c:pt>
                <c:pt idx="25">
                  <c:v>41302</c:v>
                </c:pt>
                <c:pt idx="26">
                  <c:v>41303</c:v>
                </c:pt>
                <c:pt idx="27">
                  <c:v>41304</c:v>
                </c:pt>
                <c:pt idx="28">
                  <c:v>41305</c:v>
                </c:pt>
                <c:pt idx="29">
                  <c:v>41306</c:v>
                </c:pt>
                <c:pt idx="30">
                  <c:v>41307</c:v>
                </c:pt>
                <c:pt idx="31">
                  <c:v>41308</c:v>
                </c:pt>
                <c:pt idx="32">
                  <c:v>41309</c:v>
                </c:pt>
                <c:pt idx="33">
                  <c:v>41310</c:v>
                </c:pt>
                <c:pt idx="34">
                  <c:v>41311</c:v>
                </c:pt>
                <c:pt idx="35">
                  <c:v>41312</c:v>
                </c:pt>
                <c:pt idx="36">
                  <c:v>41313</c:v>
                </c:pt>
                <c:pt idx="37">
                  <c:v>41314</c:v>
                </c:pt>
                <c:pt idx="38">
                  <c:v>41315</c:v>
                </c:pt>
                <c:pt idx="39">
                  <c:v>41316</c:v>
                </c:pt>
                <c:pt idx="40">
                  <c:v>41317</c:v>
                </c:pt>
                <c:pt idx="41">
                  <c:v>41318</c:v>
                </c:pt>
                <c:pt idx="42">
                  <c:v>41319</c:v>
                </c:pt>
                <c:pt idx="43">
                  <c:v>41320</c:v>
                </c:pt>
                <c:pt idx="44">
                  <c:v>41321</c:v>
                </c:pt>
                <c:pt idx="45">
                  <c:v>41322</c:v>
                </c:pt>
                <c:pt idx="46">
                  <c:v>41323</c:v>
                </c:pt>
                <c:pt idx="47">
                  <c:v>41324</c:v>
                </c:pt>
                <c:pt idx="48">
                  <c:v>41325</c:v>
                </c:pt>
                <c:pt idx="49">
                  <c:v>41326</c:v>
                </c:pt>
                <c:pt idx="50">
                  <c:v>41327</c:v>
                </c:pt>
                <c:pt idx="51">
                  <c:v>41328</c:v>
                </c:pt>
                <c:pt idx="52">
                  <c:v>41329</c:v>
                </c:pt>
                <c:pt idx="53">
                  <c:v>41330</c:v>
                </c:pt>
                <c:pt idx="54">
                  <c:v>41331</c:v>
                </c:pt>
                <c:pt idx="55">
                  <c:v>41332</c:v>
                </c:pt>
                <c:pt idx="56">
                  <c:v>41333</c:v>
                </c:pt>
                <c:pt idx="57">
                  <c:v>41334</c:v>
                </c:pt>
                <c:pt idx="58">
                  <c:v>41335</c:v>
                </c:pt>
                <c:pt idx="59">
                  <c:v>41336</c:v>
                </c:pt>
                <c:pt idx="60">
                  <c:v>41337</c:v>
                </c:pt>
                <c:pt idx="61">
                  <c:v>41338</c:v>
                </c:pt>
                <c:pt idx="62">
                  <c:v>41339</c:v>
                </c:pt>
                <c:pt idx="63">
                  <c:v>41340</c:v>
                </c:pt>
                <c:pt idx="64">
                  <c:v>41341</c:v>
                </c:pt>
                <c:pt idx="65">
                  <c:v>41342</c:v>
                </c:pt>
                <c:pt idx="66">
                  <c:v>41343</c:v>
                </c:pt>
                <c:pt idx="67">
                  <c:v>41344</c:v>
                </c:pt>
                <c:pt idx="68">
                  <c:v>41345</c:v>
                </c:pt>
                <c:pt idx="69">
                  <c:v>41346</c:v>
                </c:pt>
                <c:pt idx="70">
                  <c:v>41347</c:v>
                </c:pt>
                <c:pt idx="71">
                  <c:v>41348</c:v>
                </c:pt>
                <c:pt idx="72">
                  <c:v>41349</c:v>
                </c:pt>
                <c:pt idx="73">
                  <c:v>41350</c:v>
                </c:pt>
                <c:pt idx="74">
                  <c:v>41351</c:v>
                </c:pt>
                <c:pt idx="75">
                  <c:v>41352</c:v>
                </c:pt>
                <c:pt idx="76">
                  <c:v>41353</c:v>
                </c:pt>
                <c:pt idx="77">
                  <c:v>41354</c:v>
                </c:pt>
                <c:pt idx="78">
                  <c:v>41355</c:v>
                </c:pt>
                <c:pt idx="79">
                  <c:v>41356</c:v>
                </c:pt>
                <c:pt idx="80">
                  <c:v>41357</c:v>
                </c:pt>
                <c:pt idx="81">
                  <c:v>41358</c:v>
                </c:pt>
                <c:pt idx="82">
                  <c:v>41359</c:v>
                </c:pt>
                <c:pt idx="83">
                  <c:v>41360</c:v>
                </c:pt>
                <c:pt idx="84">
                  <c:v>41361</c:v>
                </c:pt>
                <c:pt idx="85">
                  <c:v>41362</c:v>
                </c:pt>
                <c:pt idx="86">
                  <c:v>41363</c:v>
                </c:pt>
                <c:pt idx="87">
                  <c:v>41364</c:v>
                </c:pt>
                <c:pt idx="88">
                  <c:v>41365</c:v>
                </c:pt>
                <c:pt idx="89">
                  <c:v>41366</c:v>
                </c:pt>
                <c:pt idx="90">
                  <c:v>41367</c:v>
                </c:pt>
                <c:pt idx="91">
                  <c:v>41368</c:v>
                </c:pt>
                <c:pt idx="92">
                  <c:v>41369</c:v>
                </c:pt>
                <c:pt idx="93">
                  <c:v>41370</c:v>
                </c:pt>
                <c:pt idx="94">
                  <c:v>41371</c:v>
                </c:pt>
                <c:pt idx="95">
                  <c:v>41372</c:v>
                </c:pt>
                <c:pt idx="96">
                  <c:v>41373</c:v>
                </c:pt>
                <c:pt idx="97">
                  <c:v>41374</c:v>
                </c:pt>
                <c:pt idx="98">
                  <c:v>41375</c:v>
                </c:pt>
                <c:pt idx="99">
                  <c:v>41376</c:v>
                </c:pt>
                <c:pt idx="100">
                  <c:v>41377</c:v>
                </c:pt>
                <c:pt idx="101">
                  <c:v>41378</c:v>
                </c:pt>
                <c:pt idx="102">
                  <c:v>41379</c:v>
                </c:pt>
                <c:pt idx="103">
                  <c:v>41380</c:v>
                </c:pt>
                <c:pt idx="104">
                  <c:v>41381</c:v>
                </c:pt>
                <c:pt idx="105">
                  <c:v>41382</c:v>
                </c:pt>
                <c:pt idx="106">
                  <c:v>41383</c:v>
                </c:pt>
                <c:pt idx="107">
                  <c:v>41384</c:v>
                </c:pt>
                <c:pt idx="108">
                  <c:v>41385</c:v>
                </c:pt>
                <c:pt idx="109">
                  <c:v>41386</c:v>
                </c:pt>
                <c:pt idx="110">
                  <c:v>41387</c:v>
                </c:pt>
                <c:pt idx="111">
                  <c:v>41388</c:v>
                </c:pt>
                <c:pt idx="112">
                  <c:v>41389</c:v>
                </c:pt>
                <c:pt idx="113">
                  <c:v>41390</c:v>
                </c:pt>
                <c:pt idx="114">
                  <c:v>41391</c:v>
                </c:pt>
                <c:pt idx="115">
                  <c:v>41392</c:v>
                </c:pt>
                <c:pt idx="116">
                  <c:v>41393</c:v>
                </c:pt>
                <c:pt idx="117">
                  <c:v>41394</c:v>
                </c:pt>
                <c:pt idx="118">
                  <c:v>41395</c:v>
                </c:pt>
                <c:pt idx="119">
                  <c:v>41396</c:v>
                </c:pt>
                <c:pt idx="120">
                  <c:v>41397</c:v>
                </c:pt>
                <c:pt idx="121">
                  <c:v>41398</c:v>
                </c:pt>
                <c:pt idx="122">
                  <c:v>41399</c:v>
                </c:pt>
                <c:pt idx="123">
                  <c:v>41400</c:v>
                </c:pt>
                <c:pt idx="124">
                  <c:v>41401</c:v>
                </c:pt>
                <c:pt idx="125">
                  <c:v>41402</c:v>
                </c:pt>
                <c:pt idx="126">
                  <c:v>41403</c:v>
                </c:pt>
                <c:pt idx="127">
                  <c:v>41404</c:v>
                </c:pt>
                <c:pt idx="128">
                  <c:v>41405</c:v>
                </c:pt>
                <c:pt idx="129">
                  <c:v>41406</c:v>
                </c:pt>
                <c:pt idx="130">
                  <c:v>41407</c:v>
                </c:pt>
                <c:pt idx="131">
                  <c:v>41408</c:v>
                </c:pt>
                <c:pt idx="132">
                  <c:v>41409</c:v>
                </c:pt>
                <c:pt idx="133">
                  <c:v>41410</c:v>
                </c:pt>
                <c:pt idx="134">
                  <c:v>41411</c:v>
                </c:pt>
                <c:pt idx="135">
                  <c:v>41412</c:v>
                </c:pt>
                <c:pt idx="136">
                  <c:v>41413</c:v>
                </c:pt>
                <c:pt idx="137">
                  <c:v>41414</c:v>
                </c:pt>
                <c:pt idx="138">
                  <c:v>41415</c:v>
                </c:pt>
                <c:pt idx="139">
                  <c:v>41416</c:v>
                </c:pt>
                <c:pt idx="140">
                  <c:v>41417</c:v>
                </c:pt>
                <c:pt idx="141">
                  <c:v>41418</c:v>
                </c:pt>
                <c:pt idx="142">
                  <c:v>41419</c:v>
                </c:pt>
                <c:pt idx="143">
                  <c:v>41420</c:v>
                </c:pt>
                <c:pt idx="144">
                  <c:v>41421</c:v>
                </c:pt>
                <c:pt idx="145">
                  <c:v>41422</c:v>
                </c:pt>
                <c:pt idx="146">
                  <c:v>41423</c:v>
                </c:pt>
                <c:pt idx="147">
                  <c:v>41424</c:v>
                </c:pt>
                <c:pt idx="148">
                  <c:v>41425</c:v>
                </c:pt>
                <c:pt idx="149">
                  <c:v>41426</c:v>
                </c:pt>
                <c:pt idx="150">
                  <c:v>41427</c:v>
                </c:pt>
                <c:pt idx="151">
                  <c:v>41428</c:v>
                </c:pt>
              </c:numCache>
            </c:numRef>
          </c:cat>
          <c:val>
            <c:numRef>
              <c:f>'Trend - Mazat 1'!$C$4:$C$155</c:f>
              <c:numCache>
                <c:formatCode>0%</c:formatCode>
                <c:ptCount val="152"/>
                <c:pt idx="0">
                  <c:v>0.1615336010962648</c:v>
                </c:pt>
                <c:pt idx="1">
                  <c:v>0.46300060084146749</c:v>
                </c:pt>
                <c:pt idx="2">
                  <c:v>0.30439524825799885</c:v>
                </c:pt>
                <c:pt idx="3">
                  <c:v>0.53376346533703201</c:v>
                </c:pt>
                <c:pt idx="4">
                  <c:v>0.42873726337980678</c:v>
                </c:pt>
                <c:pt idx="5">
                  <c:v>0.6678835984240632</c:v>
                </c:pt>
                <c:pt idx="6">
                  <c:v>0.48934420565290981</c:v>
                </c:pt>
                <c:pt idx="7">
                  <c:v>0.35087424990933769</c:v>
                </c:pt>
                <c:pt idx="8">
                  <c:v>0.32783700824158679</c:v>
                </c:pt>
                <c:pt idx="9">
                  <c:v>0.33198902857474466</c:v>
                </c:pt>
                <c:pt idx="10">
                  <c:v>0.39763280496027587</c:v>
                </c:pt>
                <c:pt idx="11">
                  <c:v>0.35410125179334057</c:v>
                </c:pt>
                <c:pt idx="12">
                  <c:v>0.37717418390622381</c:v>
                </c:pt>
                <c:pt idx="13">
                  <c:v>0.38248216815614156</c:v>
                </c:pt>
                <c:pt idx="14">
                  <c:v>0.42091076005525774</c:v>
                </c:pt>
                <c:pt idx="15">
                  <c:v>0.39818185004517581</c:v>
                </c:pt>
                <c:pt idx="16">
                  <c:v>0.43279428042071544</c:v>
                </c:pt>
                <c:pt idx="17">
                  <c:v>0.39837416086672051</c:v>
                </c:pt>
                <c:pt idx="18">
                  <c:v>0.39626695343627738</c:v>
                </c:pt>
                <c:pt idx="19">
                  <c:v>0.45301258195120242</c:v>
                </c:pt>
                <c:pt idx="20">
                  <c:v>0.42390721539822768</c:v>
                </c:pt>
                <c:pt idx="21">
                  <c:v>0.42101021554883639</c:v>
                </c:pt>
                <c:pt idx="22">
                  <c:v>0.46988166800862557</c:v>
                </c:pt>
                <c:pt idx="23">
                  <c:v>0.40669916856655064</c:v>
                </c:pt>
                <c:pt idx="24">
                  <c:v>0.44156003102346786</c:v>
                </c:pt>
                <c:pt idx="25">
                  <c:v>0.40941362427351441</c:v>
                </c:pt>
                <c:pt idx="26">
                  <c:v>0.46515938616634328</c:v>
                </c:pt>
                <c:pt idx="27">
                  <c:v>0.42659366681140409</c:v>
                </c:pt>
                <c:pt idx="28">
                  <c:v>0.4778083894619401</c:v>
                </c:pt>
                <c:pt idx="29">
                  <c:v>0.44615927272915246</c:v>
                </c:pt>
                <c:pt idx="30">
                  <c:v>0.43197367885253674</c:v>
                </c:pt>
                <c:pt idx="31">
                  <c:v>0.47972423911267786</c:v>
                </c:pt>
                <c:pt idx="32">
                  <c:v>0.44792248270520718</c:v>
                </c:pt>
                <c:pt idx="33">
                  <c:v>0.3837989724160441</c:v>
                </c:pt>
                <c:pt idx="34">
                  <c:v>0.42425722699536161</c:v>
                </c:pt>
                <c:pt idx="35">
                  <c:v>0.45061650402289272</c:v>
                </c:pt>
                <c:pt idx="36">
                  <c:v>0.49998810086916023</c:v>
                </c:pt>
                <c:pt idx="37">
                  <c:v>0.5174199852778798</c:v>
                </c:pt>
                <c:pt idx="38">
                  <c:v>0.45971271414442716</c:v>
                </c:pt>
                <c:pt idx="39">
                  <c:v>0.5055937811093707</c:v>
                </c:pt>
                <c:pt idx="40">
                  <c:v>0.53112983335054187</c:v>
                </c:pt>
                <c:pt idx="41">
                  <c:v>0.45139277015767759</c:v>
                </c:pt>
                <c:pt idx="42">
                  <c:v>0.46377512445681934</c:v>
                </c:pt>
                <c:pt idx="43">
                  <c:v>0.47759380003495427</c:v>
                </c:pt>
                <c:pt idx="44">
                  <c:v>0.45519757152979884</c:v>
                </c:pt>
                <c:pt idx="45">
                  <c:v>0.51356519846830662</c:v>
                </c:pt>
                <c:pt idx="46">
                  <c:v>0.49991652116768193</c:v>
                </c:pt>
                <c:pt idx="47">
                  <c:v>0.53909261296418443</c:v>
                </c:pt>
                <c:pt idx="48">
                  <c:v>0.50310313415569707</c:v>
                </c:pt>
                <c:pt idx="49">
                  <c:v>0.47091689106400608</c:v>
                </c:pt>
                <c:pt idx="50">
                  <c:v>0.52049343820511296</c:v>
                </c:pt>
                <c:pt idx="51">
                  <c:v>0.46904157572421262</c:v>
                </c:pt>
                <c:pt idx="52">
                  <c:v>0.47753336056922857</c:v>
                </c:pt>
                <c:pt idx="53">
                  <c:v>0.50304414199244707</c:v>
                </c:pt>
                <c:pt idx="54">
                  <c:v>0.51728901342156208</c:v>
                </c:pt>
                <c:pt idx="55">
                  <c:v>0.5678538946595858</c:v>
                </c:pt>
                <c:pt idx="56">
                  <c:v>0.47782531682432672</c:v>
                </c:pt>
                <c:pt idx="57">
                  <c:v>0.47451031467722588</c:v>
                </c:pt>
                <c:pt idx="58">
                  <c:v>0.48578562129080549</c:v>
                </c:pt>
                <c:pt idx="59">
                  <c:v>0.52711412645634192</c:v>
                </c:pt>
                <c:pt idx="60">
                  <c:v>0.5210883228384382</c:v>
                </c:pt>
                <c:pt idx="61">
                  <c:v>0.56353099854000999</c:v>
                </c:pt>
                <c:pt idx="62">
                  <c:v>0.58091046170022664</c:v>
                </c:pt>
                <c:pt idx="63">
                  <c:v>0.52940680067194834</c:v>
                </c:pt>
                <c:pt idx="64">
                  <c:v>0.50855248049243862</c:v>
                </c:pt>
                <c:pt idx="65">
                  <c:v>0.5447663981641756</c:v>
                </c:pt>
                <c:pt idx="66">
                  <c:v>0.5170854624575203</c:v>
                </c:pt>
                <c:pt idx="67">
                  <c:v>0.54137752027579067</c:v>
                </c:pt>
                <c:pt idx="68">
                  <c:v>0.55513067534764116</c:v>
                </c:pt>
                <c:pt idx="69">
                  <c:v>0.51755360566774233</c:v>
                </c:pt>
                <c:pt idx="70">
                  <c:v>0.59884823525946174</c:v>
                </c:pt>
                <c:pt idx="71">
                  <c:v>0.50738083585949445</c:v>
                </c:pt>
                <c:pt idx="72">
                  <c:v>0.54364683837722616</c:v>
                </c:pt>
                <c:pt idx="73">
                  <c:v>0.52457643824274003</c:v>
                </c:pt>
                <c:pt idx="74">
                  <c:v>0.487244073154115</c:v>
                </c:pt>
                <c:pt idx="75">
                  <c:v>0.47088654206669489</c:v>
                </c:pt>
                <c:pt idx="76">
                  <c:v>0.43986993941347013</c:v>
                </c:pt>
                <c:pt idx="77">
                  <c:v>0.45626020226582964</c:v>
                </c:pt>
                <c:pt idx="78">
                  <c:v>0.45579321593594763</c:v>
                </c:pt>
                <c:pt idx="79">
                  <c:v>0.27118007783420955</c:v>
                </c:pt>
                <c:pt idx="80">
                  <c:v>0.4462830609651916</c:v>
                </c:pt>
                <c:pt idx="81">
                  <c:v>0.48185181846906849</c:v>
                </c:pt>
                <c:pt idx="82">
                  <c:v>0.52932277098311387</c:v>
                </c:pt>
                <c:pt idx="83">
                  <c:v>0.46361745564178997</c:v>
                </c:pt>
                <c:pt idx="84">
                  <c:v>0.48084627782512562</c:v>
                </c:pt>
                <c:pt idx="85">
                  <c:v>0.5773275214406588</c:v>
                </c:pt>
                <c:pt idx="86">
                  <c:v>0.50120096249974133</c:v>
                </c:pt>
                <c:pt idx="87">
                  <c:v>0.46730556280591534</c:v>
                </c:pt>
                <c:pt idx="88">
                  <c:v>0.46666278285583224</c:v>
                </c:pt>
                <c:pt idx="89">
                  <c:v>0.39755167964753141</c:v>
                </c:pt>
                <c:pt idx="90">
                  <c:v>0.45097599999109278</c:v>
                </c:pt>
                <c:pt idx="91">
                  <c:v>0.44864278698116083</c:v>
                </c:pt>
                <c:pt idx="92">
                  <c:v>0.31015014824178294</c:v>
                </c:pt>
                <c:pt idx="93">
                  <c:v>0.35749116231356209</c:v>
                </c:pt>
                <c:pt idx="94">
                  <c:v>0.3032082215635879</c:v>
                </c:pt>
                <c:pt idx="95">
                  <c:v>0.38508395936922574</c:v>
                </c:pt>
                <c:pt idx="96">
                  <c:v>0.40015039501260335</c:v>
                </c:pt>
                <c:pt idx="97">
                  <c:v>0.44080074376070333</c:v>
                </c:pt>
                <c:pt idx="98">
                  <c:v>0.50053751038283267</c:v>
                </c:pt>
                <c:pt idx="99">
                  <c:v>0.44809800515843745</c:v>
                </c:pt>
                <c:pt idx="100">
                  <c:v>0.52277042686585229</c:v>
                </c:pt>
                <c:pt idx="101">
                  <c:v>0.51169708984991835</c:v>
                </c:pt>
                <c:pt idx="102">
                  <c:v>0.4856886824236617</c:v>
                </c:pt>
                <c:pt idx="103">
                  <c:v>0.51250870783128577</c:v>
                </c:pt>
                <c:pt idx="104">
                  <c:v>0.55661601792767212</c:v>
                </c:pt>
                <c:pt idx="105">
                  <c:v>0.56090403090439134</c:v>
                </c:pt>
                <c:pt idx="106">
                  <c:v>0.55695086356113466</c:v>
                </c:pt>
                <c:pt idx="107">
                  <c:v>0.53640911877769593</c:v>
                </c:pt>
                <c:pt idx="108">
                  <c:v>0.56556331872583965</c:v>
                </c:pt>
                <c:pt idx="109">
                  <c:v>0.61255221656404468</c:v>
                </c:pt>
                <c:pt idx="110">
                  <c:v>0.52690347034771534</c:v>
                </c:pt>
                <c:pt idx="111">
                  <c:v>0.62128220020630309</c:v>
                </c:pt>
                <c:pt idx="112">
                  <c:v>0.61472156791098498</c:v>
                </c:pt>
                <c:pt idx="113">
                  <c:v>0.53343230303454658</c:v>
                </c:pt>
                <c:pt idx="114">
                  <c:v>0.6251854942076448</c:v>
                </c:pt>
                <c:pt idx="115">
                  <c:v>0.58657147112665187</c:v>
                </c:pt>
                <c:pt idx="116">
                  <c:v>0.60620597117012953</c:v>
                </c:pt>
                <c:pt idx="117">
                  <c:v>0.53983383653056327</c:v>
                </c:pt>
                <c:pt idx="118">
                  <c:v>0.56309804667064833</c:v>
                </c:pt>
                <c:pt idx="119">
                  <c:v>0.56771875169031794</c:v>
                </c:pt>
                <c:pt idx="120">
                  <c:v>0.58874697489971339</c:v>
                </c:pt>
                <c:pt idx="121">
                  <c:v>0.63031850206555295</c:v>
                </c:pt>
                <c:pt idx="122">
                  <c:v>0.57052082507859092</c:v>
                </c:pt>
                <c:pt idx="123">
                  <c:v>0.58879438037008103</c:v>
                </c:pt>
                <c:pt idx="124">
                  <c:v>0.59256871677837764</c:v>
                </c:pt>
                <c:pt idx="125">
                  <c:v>0.56570084218249683</c:v>
                </c:pt>
                <c:pt idx="126">
                  <c:v>0.58068785605251905</c:v>
                </c:pt>
                <c:pt idx="127">
                  <c:v>0.63805362817834388</c:v>
                </c:pt>
                <c:pt idx="128">
                  <c:v>0.61053756378450819</c:v>
                </c:pt>
                <c:pt idx="129">
                  <c:v>0.5646304603222867</c:v>
                </c:pt>
                <c:pt idx="130">
                  <c:v>0.63207092760724515</c:v>
                </c:pt>
                <c:pt idx="131">
                  <c:v>0.65745554567037556</c:v>
                </c:pt>
                <c:pt idx="132">
                  <c:v>0.64161043817245722</c:v>
                </c:pt>
                <c:pt idx="133">
                  <c:v>0.65339377318397485</c:v>
                </c:pt>
                <c:pt idx="134">
                  <c:v>0.58482603577113912</c:v>
                </c:pt>
                <c:pt idx="135">
                  <c:v>0.6565406830151711</c:v>
                </c:pt>
                <c:pt idx="136">
                  <c:v>0.63663935800559235</c:v>
                </c:pt>
                <c:pt idx="137">
                  <c:v>0.60585307895335549</c:v>
                </c:pt>
                <c:pt idx="138">
                  <c:v>0.6641263144066748</c:v>
                </c:pt>
                <c:pt idx="139">
                  <c:v>0.64342782952840338</c:v>
                </c:pt>
                <c:pt idx="140">
                  <c:v>0.5873062804450887</c:v>
                </c:pt>
                <c:pt idx="141">
                  <c:v>0.61178566182555727</c:v>
                </c:pt>
                <c:pt idx="142">
                  <c:v>0.67320230637964662</c:v>
                </c:pt>
                <c:pt idx="143">
                  <c:v>0.67869837269435329</c:v>
                </c:pt>
                <c:pt idx="144">
                  <c:v>0.61529583126277598</c:v>
                </c:pt>
                <c:pt idx="145">
                  <c:v>0.66528647654645112</c:v>
                </c:pt>
                <c:pt idx="146">
                  <c:v>0.63461409078441522</c:v>
                </c:pt>
                <c:pt idx="147">
                  <c:v>0.69349637403933573</c:v>
                </c:pt>
                <c:pt idx="148">
                  <c:v>0.66967289091326143</c:v>
                </c:pt>
                <c:pt idx="149">
                  <c:v>0.62280732736994826</c:v>
                </c:pt>
                <c:pt idx="150">
                  <c:v>0.70391141214009212</c:v>
                </c:pt>
                <c:pt idx="151">
                  <c:v>0.67569401876077084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673832"/>
        <c:axId val="272674224"/>
      </c:lineChart>
      <c:dateAx>
        <c:axId val="272673832"/>
        <c:scaling>
          <c:orientation val="minMax"/>
        </c:scaling>
        <c:delete val="0"/>
        <c:axPos val="b"/>
        <c:numFmt formatCode="mm/dd/yy;@" sourceLinked="1"/>
        <c:majorTickMark val="out"/>
        <c:minorTickMark val="none"/>
        <c:tickLblPos val="nextTo"/>
        <c:crossAx val="272674224"/>
        <c:crosses val="autoZero"/>
        <c:auto val="1"/>
        <c:lblOffset val="100"/>
        <c:baseTimeUnit val="days"/>
      </c:dateAx>
      <c:valAx>
        <c:axId val="272674224"/>
        <c:scaling>
          <c:orientation val="minMax"/>
          <c:max val="0.8"/>
          <c:min val="0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726738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Shift 2</c:v>
          </c:tx>
          <c:marker>
            <c:symbol val="none"/>
          </c:marker>
          <c:trendline>
            <c:spPr>
              <a:ln w="31750">
                <a:solidFill>
                  <a:srgbClr val="FF0000"/>
                </a:solidFill>
              </a:ln>
            </c:spPr>
            <c:trendlineType val="poly"/>
            <c:order val="6"/>
            <c:dispRSqr val="0"/>
            <c:dispEq val="0"/>
          </c:trendline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cat>
            <c:numRef>
              <c:f>'Trend - Mazat 1'!$A$4:$A$155</c:f>
              <c:numCache>
                <c:formatCode>mm/dd/yy;@</c:formatCode>
                <c:ptCount val="152"/>
                <c:pt idx="0">
                  <c:v>41277</c:v>
                </c:pt>
                <c:pt idx="1">
                  <c:v>41278</c:v>
                </c:pt>
                <c:pt idx="2">
                  <c:v>41279</c:v>
                </c:pt>
                <c:pt idx="3">
                  <c:v>41280</c:v>
                </c:pt>
                <c:pt idx="4">
                  <c:v>41281</c:v>
                </c:pt>
                <c:pt idx="5">
                  <c:v>41282</c:v>
                </c:pt>
                <c:pt idx="6">
                  <c:v>41283</c:v>
                </c:pt>
                <c:pt idx="7">
                  <c:v>41284</c:v>
                </c:pt>
                <c:pt idx="8">
                  <c:v>41285</c:v>
                </c:pt>
                <c:pt idx="9">
                  <c:v>41286</c:v>
                </c:pt>
                <c:pt idx="10">
                  <c:v>41287</c:v>
                </c:pt>
                <c:pt idx="11">
                  <c:v>41288</c:v>
                </c:pt>
                <c:pt idx="12">
                  <c:v>41289</c:v>
                </c:pt>
                <c:pt idx="13">
                  <c:v>41290</c:v>
                </c:pt>
                <c:pt idx="14">
                  <c:v>41291</c:v>
                </c:pt>
                <c:pt idx="15">
                  <c:v>41292</c:v>
                </c:pt>
                <c:pt idx="16">
                  <c:v>41293</c:v>
                </c:pt>
                <c:pt idx="17">
                  <c:v>41294</c:v>
                </c:pt>
                <c:pt idx="18">
                  <c:v>41295</c:v>
                </c:pt>
                <c:pt idx="19">
                  <c:v>41296</c:v>
                </c:pt>
                <c:pt idx="20">
                  <c:v>41297</c:v>
                </c:pt>
                <c:pt idx="21">
                  <c:v>41298</c:v>
                </c:pt>
                <c:pt idx="22">
                  <c:v>41299</c:v>
                </c:pt>
                <c:pt idx="23">
                  <c:v>41300</c:v>
                </c:pt>
                <c:pt idx="24">
                  <c:v>41301</c:v>
                </c:pt>
                <c:pt idx="25">
                  <c:v>41302</c:v>
                </c:pt>
                <c:pt idx="26">
                  <c:v>41303</c:v>
                </c:pt>
                <c:pt idx="27">
                  <c:v>41304</c:v>
                </c:pt>
                <c:pt idx="28">
                  <c:v>41305</c:v>
                </c:pt>
                <c:pt idx="29">
                  <c:v>41306</c:v>
                </c:pt>
                <c:pt idx="30">
                  <c:v>41307</c:v>
                </c:pt>
                <c:pt idx="31">
                  <c:v>41308</c:v>
                </c:pt>
                <c:pt idx="32">
                  <c:v>41309</c:v>
                </c:pt>
                <c:pt idx="33">
                  <c:v>41310</c:v>
                </c:pt>
                <c:pt idx="34">
                  <c:v>41311</c:v>
                </c:pt>
                <c:pt idx="35">
                  <c:v>41312</c:v>
                </c:pt>
                <c:pt idx="36">
                  <c:v>41313</c:v>
                </c:pt>
                <c:pt idx="37">
                  <c:v>41314</c:v>
                </c:pt>
                <c:pt idx="38">
                  <c:v>41315</c:v>
                </c:pt>
                <c:pt idx="39">
                  <c:v>41316</c:v>
                </c:pt>
                <c:pt idx="40">
                  <c:v>41317</c:v>
                </c:pt>
                <c:pt idx="41">
                  <c:v>41318</c:v>
                </c:pt>
                <c:pt idx="42">
                  <c:v>41319</c:v>
                </c:pt>
                <c:pt idx="43">
                  <c:v>41320</c:v>
                </c:pt>
                <c:pt idx="44">
                  <c:v>41321</c:v>
                </c:pt>
                <c:pt idx="45">
                  <c:v>41322</c:v>
                </c:pt>
                <c:pt idx="46">
                  <c:v>41323</c:v>
                </c:pt>
                <c:pt idx="47">
                  <c:v>41324</c:v>
                </c:pt>
                <c:pt idx="48">
                  <c:v>41325</c:v>
                </c:pt>
                <c:pt idx="49">
                  <c:v>41326</c:v>
                </c:pt>
                <c:pt idx="50">
                  <c:v>41327</c:v>
                </c:pt>
                <c:pt idx="51">
                  <c:v>41328</c:v>
                </c:pt>
                <c:pt idx="52">
                  <c:v>41329</c:v>
                </c:pt>
                <c:pt idx="53">
                  <c:v>41330</c:v>
                </c:pt>
                <c:pt idx="54">
                  <c:v>41331</c:v>
                </c:pt>
                <c:pt idx="55">
                  <c:v>41332</c:v>
                </c:pt>
                <c:pt idx="56">
                  <c:v>41333</c:v>
                </c:pt>
                <c:pt idx="57">
                  <c:v>41334</c:v>
                </c:pt>
                <c:pt idx="58">
                  <c:v>41335</c:v>
                </c:pt>
                <c:pt idx="59">
                  <c:v>41336</c:v>
                </c:pt>
                <c:pt idx="60">
                  <c:v>41337</c:v>
                </c:pt>
                <c:pt idx="61">
                  <c:v>41338</c:v>
                </c:pt>
                <c:pt idx="62">
                  <c:v>41339</c:v>
                </c:pt>
                <c:pt idx="63">
                  <c:v>41340</c:v>
                </c:pt>
                <c:pt idx="64">
                  <c:v>41341</c:v>
                </c:pt>
                <c:pt idx="65">
                  <c:v>41342</c:v>
                </c:pt>
                <c:pt idx="66">
                  <c:v>41343</c:v>
                </c:pt>
                <c:pt idx="67">
                  <c:v>41344</c:v>
                </c:pt>
                <c:pt idx="68">
                  <c:v>41345</c:v>
                </c:pt>
                <c:pt idx="69">
                  <c:v>41346</c:v>
                </c:pt>
                <c:pt idx="70">
                  <c:v>41347</c:v>
                </c:pt>
                <c:pt idx="71">
                  <c:v>41348</c:v>
                </c:pt>
                <c:pt idx="72">
                  <c:v>41349</c:v>
                </c:pt>
                <c:pt idx="73">
                  <c:v>41350</c:v>
                </c:pt>
                <c:pt idx="74">
                  <c:v>41351</c:v>
                </c:pt>
                <c:pt idx="75">
                  <c:v>41352</c:v>
                </c:pt>
                <c:pt idx="76">
                  <c:v>41353</c:v>
                </c:pt>
                <c:pt idx="77">
                  <c:v>41354</c:v>
                </c:pt>
                <c:pt idx="78">
                  <c:v>41355</c:v>
                </c:pt>
                <c:pt idx="79">
                  <c:v>41356</c:v>
                </c:pt>
                <c:pt idx="80">
                  <c:v>41357</c:v>
                </c:pt>
                <c:pt idx="81">
                  <c:v>41358</c:v>
                </c:pt>
                <c:pt idx="82">
                  <c:v>41359</c:v>
                </c:pt>
                <c:pt idx="83">
                  <c:v>41360</c:v>
                </c:pt>
                <c:pt idx="84">
                  <c:v>41361</c:v>
                </c:pt>
                <c:pt idx="85">
                  <c:v>41362</c:v>
                </c:pt>
                <c:pt idx="86">
                  <c:v>41363</c:v>
                </c:pt>
                <c:pt idx="87">
                  <c:v>41364</c:v>
                </c:pt>
                <c:pt idx="88">
                  <c:v>41365</c:v>
                </c:pt>
                <c:pt idx="89">
                  <c:v>41366</c:v>
                </c:pt>
                <c:pt idx="90">
                  <c:v>41367</c:v>
                </c:pt>
                <c:pt idx="91">
                  <c:v>41368</c:v>
                </c:pt>
                <c:pt idx="92">
                  <c:v>41369</c:v>
                </c:pt>
                <c:pt idx="93">
                  <c:v>41370</c:v>
                </c:pt>
                <c:pt idx="94">
                  <c:v>41371</c:v>
                </c:pt>
                <c:pt idx="95">
                  <c:v>41372</c:v>
                </c:pt>
                <c:pt idx="96">
                  <c:v>41373</c:v>
                </c:pt>
                <c:pt idx="97">
                  <c:v>41374</c:v>
                </c:pt>
                <c:pt idx="98">
                  <c:v>41375</c:v>
                </c:pt>
                <c:pt idx="99">
                  <c:v>41376</c:v>
                </c:pt>
                <c:pt idx="100">
                  <c:v>41377</c:v>
                </c:pt>
                <c:pt idx="101">
                  <c:v>41378</c:v>
                </c:pt>
                <c:pt idx="102">
                  <c:v>41379</c:v>
                </c:pt>
                <c:pt idx="103">
                  <c:v>41380</c:v>
                </c:pt>
                <c:pt idx="104">
                  <c:v>41381</c:v>
                </c:pt>
                <c:pt idx="105">
                  <c:v>41382</c:v>
                </c:pt>
                <c:pt idx="106">
                  <c:v>41383</c:v>
                </c:pt>
                <c:pt idx="107">
                  <c:v>41384</c:v>
                </c:pt>
                <c:pt idx="108">
                  <c:v>41385</c:v>
                </c:pt>
                <c:pt idx="109">
                  <c:v>41386</c:v>
                </c:pt>
                <c:pt idx="110">
                  <c:v>41387</c:v>
                </c:pt>
                <c:pt idx="111">
                  <c:v>41388</c:v>
                </c:pt>
                <c:pt idx="112">
                  <c:v>41389</c:v>
                </c:pt>
                <c:pt idx="113">
                  <c:v>41390</c:v>
                </c:pt>
                <c:pt idx="114">
                  <c:v>41391</c:v>
                </c:pt>
                <c:pt idx="115">
                  <c:v>41392</c:v>
                </c:pt>
                <c:pt idx="116">
                  <c:v>41393</c:v>
                </c:pt>
                <c:pt idx="117">
                  <c:v>41394</c:v>
                </c:pt>
                <c:pt idx="118">
                  <c:v>41395</c:v>
                </c:pt>
                <c:pt idx="119">
                  <c:v>41396</c:v>
                </c:pt>
                <c:pt idx="120">
                  <c:v>41397</c:v>
                </c:pt>
                <c:pt idx="121">
                  <c:v>41398</c:v>
                </c:pt>
                <c:pt idx="122">
                  <c:v>41399</c:v>
                </c:pt>
                <c:pt idx="123">
                  <c:v>41400</c:v>
                </c:pt>
                <c:pt idx="124">
                  <c:v>41401</c:v>
                </c:pt>
                <c:pt idx="125">
                  <c:v>41402</c:v>
                </c:pt>
                <c:pt idx="126">
                  <c:v>41403</c:v>
                </c:pt>
                <c:pt idx="127">
                  <c:v>41404</c:v>
                </c:pt>
                <c:pt idx="128">
                  <c:v>41405</c:v>
                </c:pt>
                <c:pt idx="129">
                  <c:v>41406</c:v>
                </c:pt>
                <c:pt idx="130">
                  <c:v>41407</c:v>
                </c:pt>
                <c:pt idx="131">
                  <c:v>41408</c:v>
                </c:pt>
                <c:pt idx="132">
                  <c:v>41409</c:v>
                </c:pt>
                <c:pt idx="133">
                  <c:v>41410</c:v>
                </c:pt>
                <c:pt idx="134">
                  <c:v>41411</c:v>
                </c:pt>
                <c:pt idx="135">
                  <c:v>41412</c:v>
                </c:pt>
                <c:pt idx="136">
                  <c:v>41413</c:v>
                </c:pt>
                <c:pt idx="137">
                  <c:v>41414</c:v>
                </c:pt>
                <c:pt idx="138">
                  <c:v>41415</c:v>
                </c:pt>
                <c:pt idx="139">
                  <c:v>41416</c:v>
                </c:pt>
                <c:pt idx="140">
                  <c:v>41417</c:v>
                </c:pt>
                <c:pt idx="141">
                  <c:v>41418</c:v>
                </c:pt>
                <c:pt idx="142">
                  <c:v>41419</c:v>
                </c:pt>
                <c:pt idx="143">
                  <c:v>41420</c:v>
                </c:pt>
                <c:pt idx="144">
                  <c:v>41421</c:v>
                </c:pt>
                <c:pt idx="145">
                  <c:v>41422</c:v>
                </c:pt>
                <c:pt idx="146">
                  <c:v>41423</c:v>
                </c:pt>
                <c:pt idx="147">
                  <c:v>41424</c:v>
                </c:pt>
                <c:pt idx="148">
                  <c:v>41425</c:v>
                </c:pt>
                <c:pt idx="149">
                  <c:v>41426</c:v>
                </c:pt>
                <c:pt idx="150">
                  <c:v>41427</c:v>
                </c:pt>
                <c:pt idx="151">
                  <c:v>41428</c:v>
                </c:pt>
              </c:numCache>
            </c:numRef>
          </c:cat>
          <c:val>
            <c:numRef>
              <c:f>'Trend - Mazat 1'!$E$4:$E$155</c:f>
              <c:numCache>
                <c:formatCode>0%</c:formatCode>
                <c:ptCount val="152"/>
                <c:pt idx="0">
                  <c:v>0.19684052642552502</c:v>
                </c:pt>
                <c:pt idx="1">
                  <c:v>0.27508303925118488</c:v>
                </c:pt>
                <c:pt idx="2">
                  <c:v>0.25855810271901219</c:v>
                </c:pt>
                <c:pt idx="3">
                  <c:v>0.19633232817369178</c:v>
                </c:pt>
                <c:pt idx="4">
                  <c:v>0.24466858516093987</c:v>
                </c:pt>
                <c:pt idx="5">
                  <c:v>0.23551960136964406</c:v>
                </c:pt>
                <c:pt idx="6">
                  <c:v>0.28911800100103502</c:v>
                </c:pt>
                <c:pt idx="7">
                  <c:v>0.27145303772258983</c:v>
                </c:pt>
                <c:pt idx="8">
                  <c:v>0.33169606588444961</c:v>
                </c:pt>
                <c:pt idx="9">
                  <c:v>0.26985304948770228</c:v>
                </c:pt>
                <c:pt idx="10">
                  <c:v>0.37396304286614684</c:v>
                </c:pt>
                <c:pt idx="11">
                  <c:v>0.21463059831544673</c:v>
                </c:pt>
                <c:pt idx="12">
                  <c:v>0.29755283147601808</c:v>
                </c:pt>
                <c:pt idx="13">
                  <c:v>0.24675677302296478</c:v>
                </c:pt>
                <c:pt idx="14">
                  <c:v>0.37003954089153374</c:v>
                </c:pt>
                <c:pt idx="15">
                  <c:v>0.27362203040303484</c:v>
                </c:pt>
                <c:pt idx="16">
                  <c:v>0.31277733997259344</c:v>
                </c:pt>
                <c:pt idx="17">
                  <c:v>0.35665398677446219</c:v>
                </c:pt>
                <c:pt idx="18">
                  <c:v>0.36360748200256382</c:v>
                </c:pt>
                <c:pt idx="19">
                  <c:v>0.31884584503020824</c:v>
                </c:pt>
                <c:pt idx="20">
                  <c:v>0.38995656661039318</c:v>
                </c:pt>
                <c:pt idx="21">
                  <c:v>0.40247588097939929</c:v>
                </c:pt>
                <c:pt idx="22">
                  <c:v>0.36394417098596626</c:v>
                </c:pt>
                <c:pt idx="23">
                  <c:v>0.39778909984080163</c:v>
                </c:pt>
                <c:pt idx="24">
                  <c:v>0.3021628899970224</c:v>
                </c:pt>
                <c:pt idx="25">
                  <c:v>0.37397431054791513</c:v>
                </c:pt>
                <c:pt idx="26">
                  <c:v>0.46358880140539954</c:v>
                </c:pt>
                <c:pt idx="27">
                  <c:v>0.40607174399565543</c:v>
                </c:pt>
                <c:pt idx="28">
                  <c:v>0.48346585525104174</c:v>
                </c:pt>
                <c:pt idx="29">
                  <c:v>0.32646967061436433</c:v>
                </c:pt>
                <c:pt idx="30">
                  <c:v>0.42899519314865536</c:v>
                </c:pt>
                <c:pt idx="31">
                  <c:v>0.47176112428718636</c:v>
                </c:pt>
                <c:pt idx="32">
                  <c:v>0.37196717208134705</c:v>
                </c:pt>
                <c:pt idx="33">
                  <c:v>0.34265023078609697</c:v>
                </c:pt>
                <c:pt idx="34">
                  <c:v>0.32384737474402853</c:v>
                </c:pt>
                <c:pt idx="35">
                  <c:v>0.4881055434579113</c:v>
                </c:pt>
                <c:pt idx="36">
                  <c:v>0.33643215291159317</c:v>
                </c:pt>
                <c:pt idx="37">
                  <c:v>0.42148312910524227</c:v>
                </c:pt>
                <c:pt idx="38">
                  <c:v>0.42220352484305618</c:v>
                </c:pt>
                <c:pt idx="39">
                  <c:v>0.52518530694022836</c:v>
                </c:pt>
                <c:pt idx="40">
                  <c:v>0.54650596852903432</c:v>
                </c:pt>
                <c:pt idx="41">
                  <c:v>0.48947695214801862</c:v>
                </c:pt>
                <c:pt idx="42">
                  <c:v>0.50644809891584375</c:v>
                </c:pt>
                <c:pt idx="43">
                  <c:v>0.38576381091332451</c:v>
                </c:pt>
                <c:pt idx="44">
                  <c:v>0.44948160529883924</c:v>
                </c:pt>
                <c:pt idx="45">
                  <c:v>0.45580644919514562</c:v>
                </c:pt>
                <c:pt idx="46">
                  <c:v>0.4543621153633291</c:v>
                </c:pt>
                <c:pt idx="47">
                  <c:v>0.43352110836126495</c:v>
                </c:pt>
                <c:pt idx="48">
                  <c:v>0.40399140218542257</c:v>
                </c:pt>
                <c:pt idx="49">
                  <c:v>0.55521610538946464</c:v>
                </c:pt>
                <c:pt idx="50">
                  <c:v>0.48245195451585238</c:v>
                </c:pt>
                <c:pt idx="51">
                  <c:v>0.4731741131363339</c:v>
                </c:pt>
                <c:pt idx="52">
                  <c:v>0.51951967165185131</c:v>
                </c:pt>
                <c:pt idx="53">
                  <c:v>0.41511262062638771</c:v>
                </c:pt>
                <c:pt idx="54">
                  <c:v>0.45260130303290319</c:v>
                </c:pt>
                <c:pt idx="55">
                  <c:v>0.55622470028081028</c:v>
                </c:pt>
                <c:pt idx="56">
                  <c:v>0.48481255703022103</c:v>
                </c:pt>
                <c:pt idx="57">
                  <c:v>0.56928873458728435</c:v>
                </c:pt>
                <c:pt idx="58">
                  <c:v>0.52996204185817208</c:v>
                </c:pt>
                <c:pt idx="59">
                  <c:v>0.55330924836206408</c:v>
                </c:pt>
                <c:pt idx="60">
                  <c:v>0.55872804994659631</c:v>
                </c:pt>
                <c:pt idx="61">
                  <c:v>0.46534027401391037</c:v>
                </c:pt>
                <c:pt idx="62">
                  <c:v>0.50302762380252086</c:v>
                </c:pt>
                <c:pt idx="63">
                  <c:v>0.42840755390746005</c:v>
                </c:pt>
                <c:pt idx="64">
                  <c:v>0.50246432558823573</c:v>
                </c:pt>
                <c:pt idx="65">
                  <c:v>0.55075506090900106</c:v>
                </c:pt>
                <c:pt idx="66">
                  <c:v>0.45937189019535313</c:v>
                </c:pt>
                <c:pt idx="67">
                  <c:v>0.53914949915427823</c:v>
                </c:pt>
                <c:pt idx="68">
                  <c:v>0.49215842496890833</c:v>
                </c:pt>
                <c:pt idx="69">
                  <c:v>0.46113536743319433</c:v>
                </c:pt>
                <c:pt idx="70">
                  <c:v>0.47005168091647548</c:v>
                </c:pt>
                <c:pt idx="71">
                  <c:v>0.46939180675180808</c:v>
                </c:pt>
                <c:pt idx="72">
                  <c:v>0.46319938865291216</c:v>
                </c:pt>
                <c:pt idx="73">
                  <c:v>0.43269966473186222</c:v>
                </c:pt>
                <c:pt idx="74">
                  <c:v>0.32981773361403738</c:v>
                </c:pt>
                <c:pt idx="75">
                  <c:v>0.39519484960473933</c:v>
                </c:pt>
                <c:pt idx="76">
                  <c:v>0.38469711164079173</c:v>
                </c:pt>
                <c:pt idx="77">
                  <c:v>0.49408789062438035</c:v>
                </c:pt>
                <c:pt idx="78">
                  <c:v>0.42926274777543943</c:v>
                </c:pt>
                <c:pt idx="79">
                  <c:v>0.47698960764371762</c:v>
                </c:pt>
                <c:pt idx="80">
                  <c:v>0.37789705837399762</c:v>
                </c:pt>
                <c:pt idx="81">
                  <c:v>0.50121069952283981</c:v>
                </c:pt>
                <c:pt idx="82">
                  <c:v>0.4888834752461157</c:v>
                </c:pt>
                <c:pt idx="83">
                  <c:v>0.40457558621533668</c:v>
                </c:pt>
                <c:pt idx="84">
                  <c:v>0.52135471497950614</c:v>
                </c:pt>
                <c:pt idx="85">
                  <c:v>0.45427090491042504</c:v>
                </c:pt>
                <c:pt idx="86">
                  <c:v>0.45557045940970936</c:v>
                </c:pt>
                <c:pt idx="87">
                  <c:v>0.58033657211451239</c:v>
                </c:pt>
                <c:pt idx="88">
                  <c:v>0.55456955100330863</c:v>
                </c:pt>
                <c:pt idx="89">
                  <c:v>0.55169824808218082</c:v>
                </c:pt>
                <c:pt idx="90">
                  <c:v>0.54693211919705687</c:v>
                </c:pt>
                <c:pt idx="91">
                  <c:v>0.53574902006610636</c:v>
                </c:pt>
                <c:pt idx="92">
                  <c:v>0.43889016454890567</c:v>
                </c:pt>
                <c:pt idx="93">
                  <c:v>0.53185854476963379</c:v>
                </c:pt>
                <c:pt idx="94">
                  <c:v>0.51857506723403834</c:v>
                </c:pt>
                <c:pt idx="95">
                  <c:v>0.5294505190181229</c:v>
                </c:pt>
                <c:pt idx="96">
                  <c:v>0.50551660254723885</c:v>
                </c:pt>
                <c:pt idx="97">
                  <c:v>0.48017463615508399</c:v>
                </c:pt>
                <c:pt idx="98">
                  <c:v>0.48051938607774819</c:v>
                </c:pt>
                <c:pt idx="99">
                  <c:v>0.5780588344728812</c:v>
                </c:pt>
                <c:pt idx="100">
                  <c:v>0.65321033465319411</c:v>
                </c:pt>
                <c:pt idx="101">
                  <c:v>0.48700686929855924</c:v>
                </c:pt>
                <c:pt idx="102">
                  <c:v>0.57688378358403392</c:v>
                </c:pt>
                <c:pt idx="103">
                  <c:v>0.57241262891419131</c:v>
                </c:pt>
                <c:pt idx="104">
                  <c:v>0.5805370274327939</c:v>
                </c:pt>
                <c:pt idx="105">
                  <c:v>0.61679007917678463</c:v>
                </c:pt>
                <c:pt idx="106">
                  <c:v>0.53687907084470687</c:v>
                </c:pt>
                <c:pt idx="107">
                  <c:v>0.34097055361062584</c:v>
                </c:pt>
                <c:pt idx="108">
                  <c:v>0.46126658705006313</c:v>
                </c:pt>
                <c:pt idx="109">
                  <c:v>0.25652774747090307</c:v>
                </c:pt>
                <c:pt idx="110">
                  <c:v>0.31092423533644004</c:v>
                </c:pt>
                <c:pt idx="111">
                  <c:v>0.21920680008581894</c:v>
                </c:pt>
                <c:pt idx="112">
                  <c:v>0.17220806107462816</c:v>
                </c:pt>
                <c:pt idx="113">
                  <c:v>0.20510728356597746</c:v>
                </c:pt>
                <c:pt idx="114">
                  <c:v>0.32288842823375524</c:v>
                </c:pt>
                <c:pt idx="115">
                  <c:v>0.48808551614338808</c:v>
                </c:pt>
                <c:pt idx="116">
                  <c:v>0.64035502484846307</c:v>
                </c:pt>
                <c:pt idx="117">
                  <c:v>0.69180844368626815</c:v>
                </c:pt>
                <c:pt idx="118">
                  <c:v>0.619834988090461</c:v>
                </c:pt>
                <c:pt idx="119">
                  <c:v>0.47870989073108378</c:v>
                </c:pt>
                <c:pt idx="120">
                  <c:v>0.49899130599340041</c:v>
                </c:pt>
                <c:pt idx="121">
                  <c:v>0.41228354616776602</c:v>
                </c:pt>
                <c:pt idx="122">
                  <c:v>0.41397737998389655</c:v>
                </c:pt>
                <c:pt idx="123">
                  <c:v>0.48115518083498071</c:v>
                </c:pt>
                <c:pt idx="124">
                  <c:v>0.4081842071097363</c:v>
                </c:pt>
                <c:pt idx="125">
                  <c:v>0.4545334081269124</c:v>
                </c:pt>
                <c:pt idx="126">
                  <c:v>0.39910728901334885</c:v>
                </c:pt>
                <c:pt idx="127">
                  <c:v>0.37333229559448339</c:v>
                </c:pt>
                <c:pt idx="128">
                  <c:v>0.33999205091197943</c:v>
                </c:pt>
                <c:pt idx="129">
                  <c:v>0.4373127875179374</c:v>
                </c:pt>
                <c:pt idx="130">
                  <c:v>0.32832882758018161</c:v>
                </c:pt>
                <c:pt idx="131">
                  <c:v>0.27864862063881729</c:v>
                </c:pt>
                <c:pt idx="132">
                  <c:v>0.2307693926514956</c:v>
                </c:pt>
                <c:pt idx="133">
                  <c:v>0.17056992635815377</c:v>
                </c:pt>
                <c:pt idx="134">
                  <c:v>0.31022798586950978</c:v>
                </c:pt>
                <c:pt idx="135">
                  <c:v>0.21598515914837002</c:v>
                </c:pt>
                <c:pt idx="136">
                  <c:v>0.30419262164009503</c:v>
                </c:pt>
                <c:pt idx="137">
                  <c:v>0.27836312950180836</c:v>
                </c:pt>
                <c:pt idx="138">
                  <c:v>0.42737269638348691</c:v>
                </c:pt>
                <c:pt idx="139">
                  <c:v>0.47222164390494531</c:v>
                </c:pt>
                <c:pt idx="140">
                  <c:v>0.49196948803983848</c:v>
                </c:pt>
                <c:pt idx="141">
                  <c:v>0.43440720546266814</c:v>
                </c:pt>
                <c:pt idx="142">
                  <c:v>0.51093706187122123</c:v>
                </c:pt>
                <c:pt idx="143">
                  <c:v>0.51835865631621281</c:v>
                </c:pt>
                <c:pt idx="144">
                  <c:v>0.5580110185114826</c:v>
                </c:pt>
                <c:pt idx="145">
                  <c:v>0.58586189969282665</c:v>
                </c:pt>
                <c:pt idx="146">
                  <c:v>0.45057590975793088</c:v>
                </c:pt>
                <c:pt idx="147">
                  <c:v>0.5981295027608613</c:v>
                </c:pt>
                <c:pt idx="148">
                  <c:v>0.55439479503672828</c:v>
                </c:pt>
                <c:pt idx="149">
                  <c:v>0.6268255123850639</c:v>
                </c:pt>
                <c:pt idx="150">
                  <c:v>0.6321748177949793</c:v>
                </c:pt>
                <c:pt idx="151">
                  <c:v>0.58878164362972596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675008"/>
        <c:axId val="272675400"/>
      </c:lineChart>
      <c:dateAx>
        <c:axId val="272675008"/>
        <c:scaling>
          <c:orientation val="minMax"/>
        </c:scaling>
        <c:delete val="0"/>
        <c:axPos val="b"/>
        <c:numFmt formatCode="mm/dd/yy;@" sourceLinked="1"/>
        <c:majorTickMark val="out"/>
        <c:minorTickMark val="none"/>
        <c:tickLblPos val="nextTo"/>
        <c:crossAx val="272675400"/>
        <c:crosses val="autoZero"/>
        <c:auto val="1"/>
        <c:lblOffset val="100"/>
        <c:baseTimeUnit val="days"/>
      </c:dateAx>
      <c:valAx>
        <c:axId val="272675400"/>
        <c:scaling>
          <c:orientation val="minMax"/>
          <c:max val="0.8"/>
          <c:min val="0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726750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Shift 3</c:v>
          </c:tx>
          <c:marker>
            <c:symbol val="none"/>
          </c:marker>
          <c:trendline>
            <c:spPr>
              <a:ln w="31750">
                <a:solidFill>
                  <a:srgbClr val="FF0000"/>
                </a:solidFill>
              </a:ln>
            </c:spPr>
            <c:trendlineType val="poly"/>
            <c:order val="6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3.7873660248590756E-2"/>
                  <c:y val="-9.9895742198891802E-2"/>
                </c:manualLayout>
              </c:layout>
              <c:numFmt formatCode="General" sourceLinked="0"/>
            </c:trendlineLbl>
          </c:trendline>
          <c:cat>
            <c:numRef>
              <c:f>'Trend - Mazat 1'!$A$4:$A$155</c:f>
              <c:numCache>
                <c:formatCode>mm/dd/yy;@</c:formatCode>
                <c:ptCount val="152"/>
                <c:pt idx="0">
                  <c:v>41277</c:v>
                </c:pt>
                <c:pt idx="1">
                  <c:v>41278</c:v>
                </c:pt>
                <c:pt idx="2">
                  <c:v>41279</c:v>
                </c:pt>
                <c:pt idx="3">
                  <c:v>41280</c:v>
                </c:pt>
                <c:pt idx="4">
                  <c:v>41281</c:v>
                </c:pt>
                <c:pt idx="5">
                  <c:v>41282</c:v>
                </c:pt>
                <c:pt idx="6">
                  <c:v>41283</c:v>
                </c:pt>
                <c:pt idx="7">
                  <c:v>41284</c:v>
                </c:pt>
                <c:pt idx="8">
                  <c:v>41285</c:v>
                </c:pt>
                <c:pt idx="9">
                  <c:v>41286</c:v>
                </c:pt>
                <c:pt idx="10">
                  <c:v>41287</c:v>
                </c:pt>
                <c:pt idx="11">
                  <c:v>41288</c:v>
                </c:pt>
                <c:pt idx="12">
                  <c:v>41289</c:v>
                </c:pt>
                <c:pt idx="13">
                  <c:v>41290</c:v>
                </c:pt>
                <c:pt idx="14">
                  <c:v>41291</c:v>
                </c:pt>
                <c:pt idx="15">
                  <c:v>41292</c:v>
                </c:pt>
                <c:pt idx="16">
                  <c:v>41293</c:v>
                </c:pt>
                <c:pt idx="17">
                  <c:v>41294</c:v>
                </c:pt>
                <c:pt idx="18">
                  <c:v>41295</c:v>
                </c:pt>
                <c:pt idx="19">
                  <c:v>41296</c:v>
                </c:pt>
                <c:pt idx="20">
                  <c:v>41297</c:v>
                </c:pt>
                <c:pt idx="21">
                  <c:v>41298</c:v>
                </c:pt>
                <c:pt idx="22">
                  <c:v>41299</c:v>
                </c:pt>
                <c:pt idx="23">
                  <c:v>41300</c:v>
                </c:pt>
                <c:pt idx="24">
                  <c:v>41301</c:v>
                </c:pt>
                <c:pt idx="25">
                  <c:v>41302</c:v>
                </c:pt>
                <c:pt idx="26">
                  <c:v>41303</c:v>
                </c:pt>
                <c:pt idx="27">
                  <c:v>41304</c:v>
                </c:pt>
                <c:pt idx="28">
                  <c:v>41305</c:v>
                </c:pt>
                <c:pt idx="29">
                  <c:v>41306</c:v>
                </c:pt>
                <c:pt idx="30">
                  <c:v>41307</c:v>
                </c:pt>
                <c:pt idx="31">
                  <c:v>41308</c:v>
                </c:pt>
                <c:pt idx="32">
                  <c:v>41309</c:v>
                </c:pt>
                <c:pt idx="33">
                  <c:v>41310</c:v>
                </c:pt>
                <c:pt idx="34">
                  <c:v>41311</c:v>
                </c:pt>
                <c:pt idx="35">
                  <c:v>41312</c:v>
                </c:pt>
                <c:pt idx="36">
                  <c:v>41313</c:v>
                </c:pt>
                <c:pt idx="37">
                  <c:v>41314</c:v>
                </c:pt>
                <c:pt idx="38">
                  <c:v>41315</c:v>
                </c:pt>
                <c:pt idx="39">
                  <c:v>41316</c:v>
                </c:pt>
                <c:pt idx="40">
                  <c:v>41317</c:v>
                </c:pt>
                <c:pt idx="41">
                  <c:v>41318</c:v>
                </c:pt>
                <c:pt idx="42">
                  <c:v>41319</c:v>
                </c:pt>
                <c:pt idx="43">
                  <c:v>41320</c:v>
                </c:pt>
                <c:pt idx="44">
                  <c:v>41321</c:v>
                </c:pt>
                <c:pt idx="45">
                  <c:v>41322</c:v>
                </c:pt>
                <c:pt idx="46">
                  <c:v>41323</c:v>
                </c:pt>
                <c:pt idx="47">
                  <c:v>41324</c:v>
                </c:pt>
                <c:pt idx="48">
                  <c:v>41325</c:v>
                </c:pt>
                <c:pt idx="49">
                  <c:v>41326</c:v>
                </c:pt>
                <c:pt idx="50">
                  <c:v>41327</c:v>
                </c:pt>
                <c:pt idx="51">
                  <c:v>41328</c:v>
                </c:pt>
                <c:pt idx="52">
                  <c:v>41329</c:v>
                </c:pt>
                <c:pt idx="53">
                  <c:v>41330</c:v>
                </c:pt>
                <c:pt idx="54">
                  <c:v>41331</c:v>
                </c:pt>
                <c:pt idx="55">
                  <c:v>41332</c:v>
                </c:pt>
                <c:pt idx="56">
                  <c:v>41333</c:v>
                </c:pt>
                <c:pt idx="57">
                  <c:v>41334</c:v>
                </c:pt>
                <c:pt idx="58">
                  <c:v>41335</c:v>
                </c:pt>
                <c:pt idx="59">
                  <c:v>41336</c:v>
                </c:pt>
                <c:pt idx="60">
                  <c:v>41337</c:v>
                </c:pt>
                <c:pt idx="61">
                  <c:v>41338</c:v>
                </c:pt>
                <c:pt idx="62">
                  <c:v>41339</c:v>
                </c:pt>
                <c:pt idx="63">
                  <c:v>41340</c:v>
                </c:pt>
                <c:pt idx="64">
                  <c:v>41341</c:v>
                </c:pt>
                <c:pt idx="65">
                  <c:v>41342</c:v>
                </c:pt>
                <c:pt idx="66">
                  <c:v>41343</c:v>
                </c:pt>
                <c:pt idx="67">
                  <c:v>41344</c:v>
                </c:pt>
                <c:pt idx="68">
                  <c:v>41345</c:v>
                </c:pt>
                <c:pt idx="69">
                  <c:v>41346</c:v>
                </c:pt>
                <c:pt idx="70">
                  <c:v>41347</c:v>
                </c:pt>
                <c:pt idx="71">
                  <c:v>41348</c:v>
                </c:pt>
                <c:pt idx="72">
                  <c:v>41349</c:v>
                </c:pt>
                <c:pt idx="73">
                  <c:v>41350</c:v>
                </c:pt>
                <c:pt idx="74">
                  <c:v>41351</c:v>
                </c:pt>
                <c:pt idx="75">
                  <c:v>41352</c:v>
                </c:pt>
                <c:pt idx="76">
                  <c:v>41353</c:v>
                </c:pt>
                <c:pt idx="77">
                  <c:v>41354</c:v>
                </c:pt>
                <c:pt idx="78">
                  <c:v>41355</c:v>
                </c:pt>
                <c:pt idx="79">
                  <c:v>41356</c:v>
                </c:pt>
                <c:pt idx="80">
                  <c:v>41357</c:v>
                </c:pt>
                <c:pt idx="81">
                  <c:v>41358</c:v>
                </c:pt>
                <c:pt idx="82">
                  <c:v>41359</c:v>
                </c:pt>
                <c:pt idx="83">
                  <c:v>41360</c:v>
                </c:pt>
                <c:pt idx="84">
                  <c:v>41361</c:v>
                </c:pt>
                <c:pt idx="85">
                  <c:v>41362</c:v>
                </c:pt>
                <c:pt idx="86">
                  <c:v>41363</c:v>
                </c:pt>
                <c:pt idx="87">
                  <c:v>41364</c:v>
                </c:pt>
                <c:pt idx="88">
                  <c:v>41365</c:v>
                </c:pt>
                <c:pt idx="89">
                  <c:v>41366</c:v>
                </c:pt>
                <c:pt idx="90">
                  <c:v>41367</c:v>
                </c:pt>
                <c:pt idx="91">
                  <c:v>41368</c:v>
                </c:pt>
                <c:pt idx="92">
                  <c:v>41369</c:v>
                </c:pt>
                <c:pt idx="93">
                  <c:v>41370</c:v>
                </c:pt>
                <c:pt idx="94">
                  <c:v>41371</c:v>
                </c:pt>
                <c:pt idx="95">
                  <c:v>41372</c:v>
                </c:pt>
                <c:pt idx="96">
                  <c:v>41373</c:v>
                </c:pt>
                <c:pt idx="97">
                  <c:v>41374</c:v>
                </c:pt>
                <c:pt idx="98">
                  <c:v>41375</c:v>
                </c:pt>
                <c:pt idx="99">
                  <c:v>41376</c:v>
                </c:pt>
                <c:pt idx="100">
                  <c:v>41377</c:v>
                </c:pt>
                <c:pt idx="101">
                  <c:v>41378</c:v>
                </c:pt>
                <c:pt idx="102">
                  <c:v>41379</c:v>
                </c:pt>
                <c:pt idx="103">
                  <c:v>41380</c:v>
                </c:pt>
                <c:pt idx="104">
                  <c:v>41381</c:v>
                </c:pt>
                <c:pt idx="105">
                  <c:v>41382</c:v>
                </c:pt>
                <c:pt idx="106">
                  <c:v>41383</c:v>
                </c:pt>
                <c:pt idx="107">
                  <c:v>41384</c:v>
                </c:pt>
                <c:pt idx="108">
                  <c:v>41385</c:v>
                </c:pt>
                <c:pt idx="109">
                  <c:v>41386</c:v>
                </c:pt>
                <c:pt idx="110">
                  <c:v>41387</c:v>
                </c:pt>
                <c:pt idx="111">
                  <c:v>41388</c:v>
                </c:pt>
                <c:pt idx="112">
                  <c:v>41389</c:v>
                </c:pt>
                <c:pt idx="113">
                  <c:v>41390</c:v>
                </c:pt>
                <c:pt idx="114">
                  <c:v>41391</c:v>
                </c:pt>
                <c:pt idx="115">
                  <c:v>41392</c:v>
                </c:pt>
                <c:pt idx="116">
                  <c:v>41393</c:v>
                </c:pt>
                <c:pt idx="117">
                  <c:v>41394</c:v>
                </c:pt>
                <c:pt idx="118">
                  <c:v>41395</c:v>
                </c:pt>
                <c:pt idx="119">
                  <c:v>41396</c:v>
                </c:pt>
                <c:pt idx="120">
                  <c:v>41397</c:v>
                </c:pt>
                <c:pt idx="121">
                  <c:v>41398</c:v>
                </c:pt>
                <c:pt idx="122">
                  <c:v>41399</c:v>
                </c:pt>
                <c:pt idx="123">
                  <c:v>41400</c:v>
                </c:pt>
                <c:pt idx="124">
                  <c:v>41401</c:v>
                </c:pt>
                <c:pt idx="125">
                  <c:v>41402</c:v>
                </c:pt>
                <c:pt idx="126">
                  <c:v>41403</c:v>
                </c:pt>
                <c:pt idx="127">
                  <c:v>41404</c:v>
                </c:pt>
                <c:pt idx="128">
                  <c:v>41405</c:v>
                </c:pt>
                <c:pt idx="129">
                  <c:v>41406</c:v>
                </c:pt>
                <c:pt idx="130">
                  <c:v>41407</c:v>
                </c:pt>
                <c:pt idx="131">
                  <c:v>41408</c:v>
                </c:pt>
                <c:pt idx="132">
                  <c:v>41409</c:v>
                </c:pt>
                <c:pt idx="133">
                  <c:v>41410</c:v>
                </c:pt>
                <c:pt idx="134">
                  <c:v>41411</c:v>
                </c:pt>
                <c:pt idx="135">
                  <c:v>41412</c:v>
                </c:pt>
                <c:pt idx="136">
                  <c:v>41413</c:v>
                </c:pt>
                <c:pt idx="137">
                  <c:v>41414</c:v>
                </c:pt>
                <c:pt idx="138">
                  <c:v>41415</c:v>
                </c:pt>
                <c:pt idx="139">
                  <c:v>41416</c:v>
                </c:pt>
                <c:pt idx="140">
                  <c:v>41417</c:v>
                </c:pt>
                <c:pt idx="141">
                  <c:v>41418</c:v>
                </c:pt>
                <c:pt idx="142">
                  <c:v>41419</c:v>
                </c:pt>
                <c:pt idx="143">
                  <c:v>41420</c:v>
                </c:pt>
                <c:pt idx="144">
                  <c:v>41421</c:v>
                </c:pt>
                <c:pt idx="145">
                  <c:v>41422</c:v>
                </c:pt>
                <c:pt idx="146">
                  <c:v>41423</c:v>
                </c:pt>
                <c:pt idx="147">
                  <c:v>41424</c:v>
                </c:pt>
                <c:pt idx="148">
                  <c:v>41425</c:v>
                </c:pt>
                <c:pt idx="149">
                  <c:v>41426</c:v>
                </c:pt>
                <c:pt idx="150">
                  <c:v>41427</c:v>
                </c:pt>
                <c:pt idx="151">
                  <c:v>41428</c:v>
                </c:pt>
              </c:numCache>
            </c:numRef>
          </c:cat>
          <c:val>
            <c:numRef>
              <c:f>'Trend - Mazat 1'!$H$4:$H$155</c:f>
              <c:numCache>
                <c:formatCode>0%</c:formatCode>
                <c:ptCount val="152"/>
                <c:pt idx="0">
                  <c:v>0.17881587243712405</c:v>
                </c:pt>
                <c:pt idx="1">
                  <c:v>8.4515327540708007E-2</c:v>
                </c:pt>
                <c:pt idx="2">
                  <c:v>7.941473807673799E-2</c:v>
                </c:pt>
                <c:pt idx="3">
                  <c:v>0.30668404672053001</c:v>
                </c:pt>
                <c:pt idx="4">
                  <c:v>0.16261737805786963</c:v>
                </c:pt>
                <c:pt idx="5">
                  <c:v>0.21264811498085617</c:v>
                </c:pt>
                <c:pt idx="6">
                  <c:v>8.6089345492810332E-2</c:v>
                </c:pt>
                <c:pt idx="7">
                  <c:v>0.17447451762780691</c:v>
                </c:pt>
                <c:pt idx="8">
                  <c:v>0.30101619433184051</c:v>
                </c:pt>
                <c:pt idx="9">
                  <c:v>0.30889510682209614</c:v>
                </c:pt>
                <c:pt idx="10">
                  <c:v>0.27980903137053398</c:v>
                </c:pt>
                <c:pt idx="11">
                  <c:v>0.4028181200876339</c:v>
                </c:pt>
                <c:pt idx="12">
                  <c:v>0.46812510376742528</c:v>
                </c:pt>
                <c:pt idx="13">
                  <c:v>0.41140998015542324</c:v>
                </c:pt>
                <c:pt idx="14">
                  <c:v>0.52400293287512079</c:v>
                </c:pt>
                <c:pt idx="15">
                  <c:v>0.47451953744678116</c:v>
                </c:pt>
                <c:pt idx="16">
                  <c:v>0.49142317894144588</c:v>
                </c:pt>
                <c:pt idx="17">
                  <c:v>0.56800611158221392</c:v>
                </c:pt>
                <c:pt idx="18">
                  <c:v>0.64857834128048664</c:v>
                </c:pt>
                <c:pt idx="19">
                  <c:v>0.57999999999999996</c:v>
                </c:pt>
                <c:pt idx="20">
                  <c:v>0.73613830112858047</c:v>
                </c:pt>
                <c:pt idx="21">
                  <c:v>0.62</c:v>
                </c:pt>
                <c:pt idx="22">
                  <c:v>0.64784133783549258</c:v>
                </c:pt>
                <c:pt idx="23">
                  <c:v>0.55859386322981819</c:v>
                </c:pt>
                <c:pt idx="24">
                  <c:v>0.63840914171566787</c:v>
                </c:pt>
                <c:pt idx="25">
                  <c:v>0.51066013044527403</c:v>
                </c:pt>
                <c:pt idx="26">
                  <c:v>0.55803607335407124</c:v>
                </c:pt>
                <c:pt idx="27">
                  <c:v>0.50700902741684706</c:v>
                </c:pt>
                <c:pt idx="28">
                  <c:v>0.52682517651085203</c:v>
                </c:pt>
                <c:pt idx="29">
                  <c:v>0.47915050468401538</c:v>
                </c:pt>
                <c:pt idx="30">
                  <c:v>0.34734596386585354</c:v>
                </c:pt>
                <c:pt idx="31">
                  <c:v>0.48134460239674653</c:v>
                </c:pt>
                <c:pt idx="32">
                  <c:v>0.39467143133033172</c:v>
                </c:pt>
                <c:pt idx="33">
                  <c:v>0.36957855889157093</c:v>
                </c:pt>
                <c:pt idx="34">
                  <c:v>0.42130722629616829</c:v>
                </c:pt>
                <c:pt idx="35">
                  <c:v>0.40525350988530734</c:v>
                </c:pt>
                <c:pt idx="36">
                  <c:v>0.5543669173726915</c:v>
                </c:pt>
                <c:pt idx="37">
                  <c:v>0.62012069618034804</c:v>
                </c:pt>
                <c:pt idx="38">
                  <c:v>0.71340023871616198</c:v>
                </c:pt>
                <c:pt idx="39">
                  <c:v>0.59</c:v>
                </c:pt>
                <c:pt idx="40">
                  <c:v>0.6194772279363161</c:v>
                </c:pt>
                <c:pt idx="41">
                  <c:v>0.56496002290406211</c:v>
                </c:pt>
                <c:pt idx="42">
                  <c:v>0.55562304116588601</c:v>
                </c:pt>
                <c:pt idx="43">
                  <c:v>0.60485621613880292</c:v>
                </c:pt>
                <c:pt idx="44">
                  <c:v>0.59019548091160123</c:v>
                </c:pt>
                <c:pt idx="45">
                  <c:v>0.58777588124672286</c:v>
                </c:pt>
                <c:pt idx="46">
                  <c:v>0.52173327336693842</c:v>
                </c:pt>
                <c:pt idx="47">
                  <c:v>0.53214340849334207</c:v>
                </c:pt>
                <c:pt idx="48">
                  <c:v>0.40284338758887667</c:v>
                </c:pt>
                <c:pt idx="49">
                  <c:v>0.5560775733598371</c:v>
                </c:pt>
                <c:pt idx="50">
                  <c:v>0.59080851677268997</c:v>
                </c:pt>
                <c:pt idx="51">
                  <c:v>0.5920937378960005</c:v>
                </c:pt>
                <c:pt idx="52">
                  <c:v>0.43189281422188991</c:v>
                </c:pt>
                <c:pt idx="53">
                  <c:v>0.5024202628301091</c:v>
                </c:pt>
                <c:pt idx="54">
                  <c:v>0.51726710269574849</c:v>
                </c:pt>
                <c:pt idx="55">
                  <c:v>0.54676812401699704</c:v>
                </c:pt>
                <c:pt idx="56">
                  <c:v>0.50761427133048875</c:v>
                </c:pt>
                <c:pt idx="57">
                  <c:v>0.52336295395087884</c:v>
                </c:pt>
                <c:pt idx="58">
                  <c:v>0.52627668228953861</c:v>
                </c:pt>
                <c:pt idx="59">
                  <c:v>0.44075179593157826</c:v>
                </c:pt>
                <c:pt idx="60">
                  <c:v>0.56378886645748638</c:v>
                </c:pt>
                <c:pt idx="61">
                  <c:v>0.46759015821223043</c:v>
                </c:pt>
                <c:pt idx="62">
                  <c:v>0.57403854290446565</c:v>
                </c:pt>
                <c:pt idx="63">
                  <c:v>0.50159528394458652</c:v>
                </c:pt>
                <c:pt idx="64">
                  <c:v>0.58551856692857274</c:v>
                </c:pt>
                <c:pt idx="65">
                  <c:v>0.53262216863141876</c:v>
                </c:pt>
                <c:pt idx="66">
                  <c:v>0.55731627055352484</c:v>
                </c:pt>
                <c:pt idx="67">
                  <c:v>0.50552159615521264</c:v>
                </c:pt>
                <c:pt idx="68">
                  <c:v>0.45523801112465562</c:v>
                </c:pt>
                <c:pt idx="69">
                  <c:v>0.49946810992114349</c:v>
                </c:pt>
                <c:pt idx="70">
                  <c:v>0.4494822215544883</c:v>
                </c:pt>
                <c:pt idx="71">
                  <c:v>0.53572226059850281</c:v>
                </c:pt>
                <c:pt idx="72">
                  <c:v>0.57729942504419429</c:v>
                </c:pt>
                <c:pt idx="73">
                  <c:v>0.47403216322251268</c:v>
                </c:pt>
                <c:pt idx="74">
                  <c:v>0.63298118130530479</c:v>
                </c:pt>
                <c:pt idx="75">
                  <c:v>0.45682008671561297</c:v>
                </c:pt>
                <c:pt idx="76">
                  <c:v>0.44541054572970812</c:v>
                </c:pt>
                <c:pt idx="77">
                  <c:v>0.60645107835647649</c:v>
                </c:pt>
                <c:pt idx="78">
                  <c:v>0.5517765817889273</c:v>
                </c:pt>
                <c:pt idx="79">
                  <c:v>0.63201155879154514</c:v>
                </c:pt>
                <c:pt idx="80">
                  <c:v>0.61151970176679127</c:v>
                </c:pt>
                <c:pt idx="81">
                  <c:v>0.46554200134263274</c:v>
                </c:pt>
                <c:pt idx="82">
                  <c:v>0.49977662172819787</c:v>
                </c:pt>
                <c:pt idx="83">
                  <c:v>0.45172715445409345</c:v>
                </c:pt>
                <c:pt idx="84">
                  <c:v>0.62235578332007835</c:v>
                </c:pt>
                <c:pt idx="85">
                  <c:v>0.48442030223762506</c:v>
                </c:pt>
                <c:pt idx="86">
                  <c:v>0.53285105267957866</c:v>
                </c:pt>
                <c:pt idx="87">
                  <c:v>0.65666681898709878</c:v>
                </c:pt>
                <c:pt idx="88">
                  <c:v>0.60163470304939914</c:v>
                </c:pt>
                <c:pt idx="89">
                  <c:v>0.56004700780473105</c:v>
                </c:pt>
                <c:pt idx="90">
                  <c:v>0.50488596484265647</c:v>
                </c:pt>
                <c:pt idx="91">
                  <c:v>0.59258265902017948</c:v>
                </c:pt>
                <c:pt idx="92">
                  <c:v>0.59278715549431027</c:v>
                </c:pt>
                <c:pt idx="93">
                  <c:v>0.49769632187786922</c:v>
                </c:pt>
                <c:pt idx="94">
                  <c:v>0.64553450211396957</c:v>
                </c:pt>
                <c:pt idx="95">
                  <c:v>0.50874444719863843</c:v>
                </c:pt>
                <c:pt idx="96">
                  <c:v>0.49701607097232375</c:v>
                </c:pt>
                <c:pt idx="97">
                  <c:v>0.54122380976843432</c:v>
                </c:pt>
                <c:pt idx="98">
                  <c:v>0.53324387470384793</c:v>
                </c:pt>
                <c:pt idx="99">
                  <c:v>0.51048883558003766</c:v>
                </c:pt>
                <c:pt idx="100">
                  <c:v>0.64998002068911798</c:v>
                </c:pt>
                <c:pt idx="101">
                  <c:v>0.66525632649173483</c:v>
                </c:pt>
                <c:pt idx="102">
                  <c:v>0.52815702468696446</c:v>
                </c:pt>
                <c:pt idx="103">
                  <c:v>0.56609653568580987</c:v>
                </c:pt>
                <c:pt idx="104">
                  <c:v>0.61729222804739114</c:v>
                </c:pt>
                <c:pt idx="105">
                  <c:v>0.6647039401669983</c:v>
                </c:pt>
                <c:pt idx="106">
                  <c:v>0.56290908786726734</c:v>
                </c:pt>
                <c:pt idx="107">
                  <c:v>0.60997663415718595</c:v>
                </c:pt>
                <c:pt idx="108">
                  <c:v>0.51862082688582811</c:v>
                </c:pt>
                <c:pt idx="109">
                  <c:v>0.49940136775445082</c:v>
                </c:pt>
                <c:pt idx="110">
                  <c:v>0.66196984579333851</c:v>
                </c:pt>
                <c:pt idx="111">
                  <c:v>0.55297587974550177</c:v>
                </c:pt>
                <c:pt idx="112">
                  <c:v>0.63884348344479092</c:v>
                </c:pt>
                <c:pt idx="113">
                  <c:v>0.57492830655855465</c:v>
                </c:pt>
                <c:pt idx="114">
                  <c:v>0.52200819807692467</c:v>
                </c:pt>
                <c:pt idx="115">
                  <c:v>0.47843244491202847</c:v>
                </c:pt>
                <c:pt idx="116">
                  <c:v>0.44053149384191476</c:v>
                </c:pt>
                <c:pt idx="117">
                  <c:v>0.44485239615620781</c:v>
                </c:pt>
                <c:pt idx="118">
                  <c:v>0.50647924562569435</c:v>
                </c:pt>
                <c:pt idx="119">
                  <c:v>0.37870640078109225</c:v>
                </c:pt>
                <c:pt idx="120">
                  <c:v>0.44300391304114134</c:v>
                </c:pt>
                <c:pt idx="121">
                  <c:v>0.38096788146164179</c:v>
                </c:pt>
                <c:pt idx="122">
                  <c:v>0.37490290063711357</c:v>
                </c:pt>
                <c:pt idx="123">
                  <c:v>0.23850967697626274</c:v>
                </c:pt>
                <c:pt idx="124">
                  <c:v>0.38475684804141069</c:v>
                </c:pt>
                <c:pt idx="125">
                  <c:v>0.15080738680359557</c:v>
                </c:pt>
                <c:pt idx="126">
                  <c:v>0.26644952901462909</c:v>
                </c:pt>
                <c:pt idx="127">
                  <c:v>0.13286488680641884</c:v>
                </c:pt>
                <c:pt idx="128">
                  <c:v>0.17683556245477466</c:v>
                </c:pt>
                <c:pt idx="129">
                  <c:v>0.23</c:v>
                </c:pt>
                <c:pt idx="130">
                  <c:v>0.34</c:v>
                </c:pt>
                <c:pt idx="131">
                  <c:v>9.2692121170456054E-2</c:v>
                </c:pt>
                <c:pt idx="132">
                  <c:v>0.28621655688658348</c:v>
                </c:pt>
                <c:pt idx="133">
                  <c:v>0.19464637878656504</c:v>
                </c:pt>
                <c:pt idx="134">
                  <c:v>0.32567297610387419</c:v>
                </c:pt>
                <c:pt idx="135">
                  <c:v>0.36971077854411077</c:v>
                </c:pt>
                <c:pt idx="136">
                  <c:v>0.3630473328927572</c:v>
                </c:pt>
                <c:pt idx="137">
                  <c:v>0.35476186334978072</c:v>
                </c:pt>
                <c:pt idx="138">
                  <c:v>0.39829362856476497</c:v>
                </c:pt>
                <c:pt idx="139">
                  <c:v>0.42771641904607288</c:v>
                </c:pt>
                <c:pt idx="140">
                  <c:v>0.46870989943173186</c:v>
                </c:pt>
                <c:pt idx="141">
                  <c:v>0.44208302086911028</c:v>
                </c:pt>
                <c:pt idx="142">
                  <c:v>0.49306088825552313</c:v>
                </c:pt>
                <c:pt idx="143">
                  <c:v>0.59818659287557963</c:v>
                </c:pt>
                <c:pt idx="144">
                  <c:v>0.48064318570827452</c:v>
                </c:pt>
                <c:pt idx="145">
                  <c:v>0.59763606353644061</c:v>
                </c:pt>
                <c:pt idx="146">
                  <c:v>0.57719661715680992</c:v>
                </c:pt>
                <c:pt idx="147">
                  <c:v>0.60449275930372881</c:v>
                </c:pt>
                <c:pt idx="148">
                  <c:v>0.55602223190588473</c:v>
                </c:pt>
                <c:pt idx="149">
                  <c:v>0.67699560237028344</c:v>
                </c:pt>
                <c:pt idx="150">
                  <c:v>0.72134568046977177</c:v>
                </c:pt>
                <c:pt idx="151">
                  <c:v>0.66261603976570016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19592"/>
        <c:axId val="273519984"/>
      </c:lineChart>
      <c:dateAx>
        <c:axId val="273519592"/>
        <c:scaling>
          <c:orientation val="minMax"/>
        </c:scaling>
        <c:delete val="0"/>
        <c:axPos val="b"/>
        <c:numFmt formatCode="mm/dd/yy;@" sourceLinked="1"/>
        <c:majorTickMark val="out"/>
        <c:minorTickMark val="none"/>
        <c:tickLblPos val="nextTo"/>
        <c:crossAx val="273519984"/>
        <c:crosses val="autoZero"/>
        <c:auto val="1"/>
        <c:lblOffset val="100"/>
        <c:baseTimeUnit val="days"/>
      </c:dateAx>
      <c:valAx>
        <c:axId val="2735199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735195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5"/>
    </mc:Choice>
    <mc:Fallback>
      <c:style val="25"/>
    </mc:Fallback>
  </mc:AlternateContent>
  <c:chart>
    <c:title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0"/>
        <c:ser>
          <c:idx val="0"/>
          <c:order val="0"/>
          <c:tx>
            <c:v>Effectiveness</c:v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Efficiency!$A$9:$A$13</c:f>
              <c:strCache>
                <c:ptCount val="5"/>
                <c:pt idx="0">
                  <c:v>CNC-01</c:v>
                </c:pt>
                <c:pt idx="1">
                  <c:v>CNC-02</c:v>
                </c:pt>
                <c:pt idx="2">
                  <c:v>CNC-03</c:v>
                </c:pt>
                <c:pt idx="3">
                  <c:v>AUTOCL.</c:v>
                </c:pt>
                <c:pt idx="4">
                  <c:v>OVEN-101</c:v>
                </c:pt>
              </c:strCache>
            </c:strRef>
          </c:cat>
          <c:val>
            <c:numRef>
              <c:f>Efficiency!$I$9:$I$13</c:f>
              <c:numCache>
                <c:formatCode>0.00%</c:formatCode>
                <c:ptCount val="5"/>
                <c:pt idx="0">
                  <c:v>0.60973900000000014</c:v>
                </c:pt>
                <c:pt idx="1">
                  <c:v>0.45246066666666668</c:v>
                </c:pt>
                <c:pt idx="2">
                  <c:v>0.37069066666666667</c:v>
                </c:pt>
                <c:pt idx="3">
                  <c:v>0.44867929166666665</c:v>
                </c:pt>
                <c:pt idx="4">
                  <c:v>0.53436940740740746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3520768"/>
        <c:axId val="273521160"/>
        <c:axId val="0"/>
      </c:bar3DChart>
      <c:catAx>
        <c:axId val="273520768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273521160"/>
        <c:crosses val="autoZero"/>
        <c:auto val="1"/>
        <c:lblAlgn val="ctr"/>
        <c:lblOffset val="100"/>
        <c:noMultiLvlLbl val="0"/>
      </c:catAx>
      <c:valAx>
        <c:axId val="273521160"/>
        <c:scaling>
          <c:orientation val="minMax"/>
        </c:scaling>
        <c:delete val="0"/>
        <c:axPos val="t"/>
        <c:majorGridlines/>
        <c:numFmt formatCode="0.00%" sourceLinked="1"/>
        <c:majorTickMark val="out"/>
        <c:minorTickMark val="none"/>
        <c:tickLblPos val="nextTo"/>
        <c:crossAx val="2735207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Label" lockText="1"/>
</file>

<file path=xl/ctrlProps/ctrlProp5.xml><?xml version="1.0" encoding="utf-8"?>
<formControlPr xmlns="http://schemas.microsoft.com/office/spreadsheetml/2009/9/main" objectType="Drop" dropStyle="combo" dx="16" noThreeD="1" sel="0" val="0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hyperlink" Target="http://www.portcnc.com" TargetMode="External"/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hyperlink" Target="http://www.portcnc.com" TargetMode="External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5.png"/><Relationship Id="rId5" Type="http://schemas.openxmlformats.org/officeDocument/2006/relationships/hyperlink" Target="http://www.portcnc.com" TargetMode="External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image" Target="../media/image5.png"/><Relationship Id="rId5" Type="http://schemas.openxmlformats.org/officeDocument/2006/relationships/hyperlink" Target="http://www.portcnc.com" TargetMode="External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image" Target="../media/image5.png"/><Relationship Id="rId5" Type="http://schemas.openxmlformats.org/officeDocument/2006/relationships/hyperlink" Target="http://www.portcnc.com" TargetMode="External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24.xml"/><Relationship Id="rId7" Type="http://schemas.openxmlformats.org/officeDocument/2006/relationships/hyperlink" Target="http://www.portcnc.com" TargetMode="Externa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image" Target="../media/image4.png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33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4</xdr:row>
          <xdr:rowOff>171450</xdr:rowOff>
        </xdr:from>
        <xdr:to>
          <xdr:col>4</xdr:col>
          <xdr:colOff>47625</xdr:colOff>
          <xdr:row>22</xdr:row>
          <xdr:rowOff>161925</xdr:rowOff>
        </xdr:to>
        <xdr:sp macro="" textlink="">
          <xdr:nvSpPr>
            <xdr:cNvPr id="13325" name="TabStrip1" hidden="1">
              <a:extLst>
                <a:ext uri="{63B3BB69-23CF-44E3-9099-C40C66FF867C}">
                  <a14:compatExt spid="_x0000_s133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361950</xdr:colOff>
          <xdr:row>7</xdr:row>
          <xdr:rowOff>123825</xdr:rowOff>
        </xdr:from>
        <xdr:to>
          <xdr:col>6</xdr:col>
          <xdr:colOff>38100</xdr:colOff>
          <xdr:row>11</xdr:row>
          <xdr:rowOff>28575</xdr:rowOff>
        </xdr:to>
        <xdr:sp macro="" textlink="">
          <xdr:nvSpPr>
            <xdr:cNvPr id="13313" name="Group Box 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Detailled reports generation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419100</xdr:colOff>
          <xdr:row>9</xdr:row>
          <xdr:rowOff>0</xdr:rowOff>
        </xdr:from>
        <xdr:to>
          <xdr:col>2</xdr:col>
          <xdr:colOff>180975</xdr:colOff>
          <xdr:row>10</xdr:row>
          <xdr:rowOff>95250</xdr:rowOff>
        </xdr:to>
        <xdr:sp macro="" textlink="">
          <xdr:nvSpPr>
            <xdr:cNvPr id="13314" name="DTPicker21" hidden="1">
              <a:extLst>
                <a:ext uri="{63B3BB69-23CF-44E3-9099-C40C66FF867C}">
                  <a14:compatExt spid="_x0000_s13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400050</xdr:colOff>
          <xdr:row>8</xdr:row>
          <xdr:rowOff>47625</xdr:rowOff>
        </xdr:from>
        <xdr:to>
          <xdr:col>2</xdr:col>
          <xdr:colOff>57150</xdr:colOff>
          <xdr:row>9</xdr:row>
          <xdr:rowOff>9525</xdr:rowOff>
        </xdr:to>
        <xdr:sp macro="" textlink="">
          <xdr:nvSpPr>
            <xdr:cNvPr id="13315" name="Label 3" hidden="1">
              <a:extLst>
                <a:ext uri="{63B3BB69-23CF-44E3-9099-C40C66FF867C}">
                  <a14:compatExt spid="_x0000_s13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Start Date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8</xdr:row>
          <xdr:rowOff>47625</xdr:rowOff>
        </xdr:from>
        <xdr:to>
          <xdr:col>4</xdr:col>
          <xdr:colOff>0</xdr:colOff>
          <xdr:row>9</xdr:row>
          <xdr:rowOff>9525</xdr:rowOff>
        </xdr:to>
        <xdr:sp macro="" textlink="">
          <xdr:nvSpPr>
            <xdr:cNvPr id="13316" name="Label 4" hidden="1">
              <a:extLst>
                <a:ext uri="{63B3BB69-23CF-44E3-9099-C40C66FF867C}">
                  <a14:compatExt spid="_x0000_s133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End Date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9</xdr:row>
          <xdr:rowOff>0</xdr:rowOff>
        </xdr:from>
        <xdr:to>
          <xdr:col>5</xdr:col>
          <xdr:colOff>561975</xdr:colOff>
          <xdr:row>10</xdr:row>
          <xdr:rowOff>66675</xdr:rowOff>
        </xdr:to>
        <xdr:sp macro="" textlink="">
          <xdr:nvSpPr>
            <xdr:cNvPr id="13320" name="Drop Down 8" hidden="1">
              <a:extLst>
                <a:ext uri="{63B3BB69-23CF-44E3-9099-C40C66FF867C}">
                  <a14:compatExt spid="_x0000_s133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8</xdr:row>
          <xdr:rowOff>38100</xdr:rowOff>
        </xdr:from>
        <xdr:to>
          <xdr:col>5</xdr:col>
          <xdr:colOff>466725</xdr:colOff>
          <xdr:row>9</xdr:row>
          <xdr:rowOff>0</xdr:rowOff>
        </xdr:to>
        <xdr:sp macro="" textlink="">
          <xdr:nvSpPr>
            <xdr:cNvPr id="13318" name="Label 6" hidden="1">
              <a:extLst>
                <a:ext uri="{63B3BB69-23CF-44E3-9099-C40C66FF867C}">
                  <a14:compatExt spid="_x0000_s133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190500</xdr:colOff>
          <xdr:row>9</xdr:row>
          <xdr:rowOff>0</xdr:rowOff>
        </xdr:from>
        <xdr:to>
          <xdr:col>4</xdr:col>
          <xdr:colOff>0</xdr:colOff>
          <xdr:row>10</xdr:row>
          <xdr:rowOff>95250</xdr:rowOff>
        </xdr:to>
        <xdr:sp macro="" textlink="">
          <xdr:nvSpPr>
            <xdr:cNvPr id="13321" name="DTPicker22" hidden="1">
              <a:extLst>
                <a:ext uri="{63B3BB69-23CF-44E3-9099-C40C66FF867C}">
                  <a14:compatExt spid="_x0000_s13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7</xdr:row>
          <xdr:rowOff>104775</xdr:rowOff>
        </xdr:from>
        <xdr:to>
          <xdr:col>8</xdr:col>
          <xdr:colOff>28575</xdr:colOff>
          <xdr:row>9</xdr:row>
          <xdr:rowOff>47625</xdr:rowOff>
        </xdr:to>
        <xdr:sp macro="" textlink="">
          <xdr:nvSpPr>
            <xdr:cNvPr id="13322" name="Button 10" hidden="1">
              <a:extLst>
                <a:ext uri="{63B3BB69-23CF-44E3-9099-C40C66FF867C}">
                  <a14:compatExt spid="_x0000_s133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CA" sz="1100" b="0" i="0" u="none" strike="noStrike" baseline="0">
                  <a:solidFill>
                    <a:srgbClr val="000000"/>
                  </a:solidFill>
                  <a:latin typeface="Calibri"/>
                </a:rPr>
                <a:t>Generate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9</xdr:row>
          <xdr:rowOff>76200</xdr:rowOff>
        </xdr:from>
        <xdr:to>
          <xdr:col>8</xdr:col>
          <xdr:colOff>28575</xdr:colOff>
          <xdr:row>11</xdr:row>
          <xdr:rowOff>28575</xdr:rowOff>
        </xdr:to>
        <xdr:sp macro="" textlink="">
          <xdr:nvSpPr>
            <xdr:cNvPr id="13323" name="Button 11" hidden="1">
              <a:extLst>
                <a:ext uri="{63B3BB69-23CF-44E3-9099-C40C66FF867C}">
                  <a14:compatExt spid="_x0000_s133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CA" sz="1100" b="0" i="0" u="none" strike="noStrike" baseline="0">
                  <a:solidFill>
                    <a:srgbClr val="000000"/>
                  </a:solidFill>
                  <a:latin typeface="Calibri"/>
                </a:rPr>
                <a:t>Detailed  graph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9525</xdr:colOff>
      <xdr:row>0</xdr:row>
      <xdr:rowOff>47626</xdr:rowOff>
    </xdr:from>
    <xdr:to>
      <xdr:col>4</xdr:col>
      <xdr:colOff>552450</xdr:colOff>
      <xdr:row>1</xdr:row>
      <xdr:rowOff>420875</xdr:rowOff>
    </xdr:to>
    <xdr:pic>
      <xdr:nvPicPr>
        <xdr:cNvPr id="18" name="Picture 17"/>
        <xdr:cNvPicPr preferRelativeResize="0"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7"/>
        <a:stretch/>
      </xdr:blipFill>
      <xdr:spPr bwMode="auto">
        <a:xfrm>
          <a:off x="9525" y="47626"/>
          <a:ext cx="3171825" cy="954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0</xdr:row>
      <xdr:rowOff>85727</xdr:rowOff>
    </xdr:from>
    <xdr:to>
      <xdr:col>8</xdr:col>
      <xdr:colOff>542925</xdr:colOff>
      <xdr:row>0</xdr:row>
      <xdr:rowOff>336279</xdr:rowOff>
    </xdr:to>
    <xdr:pic>
      <xdr:nvPicPr>
        <xdr:cNvPr id="19" name="Picture 18" descr="eNETDNC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 bwMode="auto">
        <a:xfrm>
          <a:off x="4038600" y="85727"/>
          <a:ext cx="1762125" cy="2505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39291</xdr:colOff>
      <xdr:row>4</xdr:row>
      <xdr:rowOff>0</xdr:rowOff>
    </xdr:from>
    <xdr:to>
      <xdr:col>8</xdr:col>
      <xdr:colOff>144774</xdr:colOff>
      <xdr:row>16</xdr:row>
      <xdr:rowOff>40822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39291</xdr:colOff>
      <xdr:row>17</xdr:row>
      <xdr:rowOff>136071</xdr:rowOff>
    </xdr:from>
    <xdr:to>
      <xdr:col>8</xdr:col>
      <xdr:colOff>144774</xdr:colOff>
      <xdr:row>30</xdr:row>
      <xdr:rowOff>2068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133351</xdr:colOff>
      <xdr:row>32</xdr:row>
      <xdr:rowOff>66022</xdr:rowOff>
    </xdr:from>
    <xdr:to>
      <xdr:col>8</xdr:col>
      <xdr:colOff>50715</xdr:colOff>
      <xdr:row>43</xdr:row>
      <xdr:rowOff>9526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</xdr:colOff>
      <xdr:row>0</xdr:row>
      <xdr:rowOff>47625</xdr:rowOff>
    </xdr:from>
    <xdr:to>
      <xdr:col>3</xdr:col>
      <xdr:colOff>479135</xdr:colOff>
      <xdr:row>0</xdr:row>
      <xdr:rowOff>857625</xdr:rowOff>
    </xdr:to>
    <xdr:pic>
      <xdr:nvPicPr>
        <xdr:cNvPr id="5" name="Picture 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7"/>
        <a:stretch/>
      </xdr:blipFill>
      <xdr:spPr bwMode="auto">
        <a:xfrm>
          <a:off x="9525" y="47625"/>
          <a:ext cx="2831810" cy="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571500</xdr:colOff>
      <xdr:row>0</xdr:row>
      <xdr:rowOff>514350</xdr:rowOff>
    </xdr:from>
    <xdr:to>
      <xdr:col>8</xdr:col>
      <xdr:colOff>311150</xdr:colOff>
      <xdr:row>0</xdr:row>
      <xdr:rowOff>685165</xdr:rowOff>
    </xdr:to>
    <xdr:pic>
      <xdr:nvPicPr>
        <xdr:cNvPr id="6" name="Picture 5" descr="eNETDNC">
          <a:hlinkClick xmlns:r="http://schemas.openxmlformats.org/officeDocument/2006/relationships" r:id="rId5"/>
        </xdr:cNvPr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991100" y="514350"/>
          <a:ext cx="1225550" cy="1708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39291</xdr:colOff>
      <xdr:row>4</xdr:row>
      <xdr:rowOff>0</xdr:rowOff>
    </xdr:from>
    <xdr:to>
      <xdr:col>8</xdr:col>
      <xdr:colOff>144774</xdr:colOff>
      <xdr:row>16</xdr:row>
      <xdr:rowOff>40822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39291</xdr:colOff>
      <xdr:row>17</xdr:row>
      <xdr:rowOff>136071</xdr:rowOff>
    </xdr:from>
    <xdr:to>
      <xdr:col>8</xdr:col>
      <xdr:colOff>144774</xdr:colOff>
      <xdr:row>30</xdr:row>
      <xdr:rowOff>2068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133351</xdr:colOff>
      <xdr:row>32</xdr:row>
      <xdr:rowOff>66022</xdr:rowOff>
    </xdr:from>
    <xdr:to>
      <xdr:col>8</xdr:col>
      <xdr:colOff>50715</xdr:colOff>
      <xdr:row>43</xdr:row>
      <xdr:rowOff>9526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</xdr:colOff>
      <xdr:row>0</xdr:row>
      <xdr:rowOff>47625</xdr:rowOff>
    </xdr:from>
    <xdr:to>
      <xdr:col>3</xdr:col>
      <xdr:colOff>479135</xdr:colOff>
      <xdr:row>0</xdr:row>
      <xdr:rowOff>857625</xdr:rowOff>
    </xdr:to>
    <xdr:pic>
      <xdr:nvPicPr>
        <xdr:cNvPr id="5" name="Picture 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7"/>
        <a:stretch/>
      </xdr:blipFill>
      <xdr:spPr bwMode="auto">
        <a:xfrm>
          <a:off x="9525" y="47625"/>
          <a:ext cx="2831810" cy="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571500</xdr:colOff>
      <xdr:row>0</xdr:row>
      <xdr:rowOff>514350</xdr:rowOff>
    </xdr:from>
    <xdr:to>
      <xdr:col>8</xdr:col>
      <xdr:colOff>311150</xdr:colOff>
      <xdr:row>0</xdr:row>
      <xdr:rowOff>685165</xdr:rowOff>
    </xdr:to>
    <xdr:pic>
      <xdr:nvPicPr>
        <xdr:cNvPr id="6" name="Picture 5" descr="eNETDNC">
          <a:hlinkClick xmlns:r="http://schemas.openxmlformats.org/officeDocument/2006/relationships" r:id="rId5"/>
        </xdr:cNvPr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410200" y="514350"/>
          <a:ext cx="1225550" cy="1708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39291</xdr:colOff>
      <xdr:row>4</xdr:row>
      <xdr:rowOff>0</xdr:rowOff>
    </xdr:from>
    <xdr:to>
      <xdr:col>8</xdr:col>
      <xdr:colOff>144774</xdr:colOff>
      <xdr:row>16</xdr:row>
      <xdr:rowOff>40822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39291</xdr:colOff>
      <xdr:row>17</xdr:row>
      <xdr:rowOff>136071</xdr:rowOff>
    </xdr:from>
    <xdr:to>
      <xdr:col>8</xdr:col>
      <xdr:colOff>144774</xdr:colOff>
      <xdr:row>30</xdr:row>
      <xdr:rowOff>2068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133351</xdr:colOff>
      <xdr:row>32</xdr:row>
      <xdr:rowOff>66022</xdr:rowOff>
    </xdr:from>
    <xdr:to>
      <xdr:col>8</xdr:col>
      <xdr:colOff>50715</xdr:colOff>
      <xdr:row>43</xdr:row>
      <xdr:rowOff>9526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</xdr:colOff>
      <xdr:row>0</xdr:row>
      <xdr:rowOff>47625</xdr:rowOff>
    </xdr:from>
    <xdr:to>
      <xdr:col>3</xdr:col>
      <xdr:colOff>479135</xdr:colOff>
      <xdr:row>0</xdr:row>
      <xdr:rowOff>857625</xdr:rowOff>
    </xdr:to>
    <xdr:pic>
      <xdr:nvPicPr>
        <xdr:cNvPr id="5" name="Picture 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7"/>
        <a:stretch/>
      </xdr:blipFill>
      <xdr:spPr bwMode="auto">
        <a:xfrm>
          <a:off x="9525" y="47625"/>
          <a:ext cx="2831810" cy="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571500</xdr:colOff>
      <xdr:row>0</xdr:row>
      <xdr:rowOff>514350</xdr:rowOff>
    </xdr:from>
    <xdr:to>
      <xdr:col>8</xdr:col>
      <xdr:colOff>311150</xdr:colOff>
      <xdr:row>0</xdr:row>
      <xdr:rowOff>685165</xdr:rowOff>
    </xdr:to>
    <xdr:pic>
      <xdr:nvPicPr>
        <xdr:cNvPr id="6" name="Picture 5" descr="eNETDNC">
          <a:hlinkClick xmlns:r="http://schemas.openxmlformats.org/officeDocument/2006/relationships" r:id="rId5"/>
        </xdr:cNvPr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410200" y="514350"/>
          <a:ext cx="1225550" cy="1708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39291</xdr:colOff>
      <xdr:row>4</xdr:row>
      <xdr:rowOff>0</xdr:rowOff>
    </xdr:from>
    <xdr:to>
      <xdr:col>8</xdr:col>
      <xdr:colOff>144774</xdr:colOff>
      <xdr:row>16</xdr:row>
      <xdr:rowOff>40822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39291</xdr:colOff>
      <xdr:row>17</xdr:row>
      <xdr:rowOff>136071</xdr:rowOff>
    </xdr:from>
    <xdr:to>
      <xdr:col>8</xdr:col>
      <xdr:colOff>144774</xdr:colOff>
      <xdr:row>30</xdr:row>
      <xdr:rowOff>2068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133351</xdr:colOff>
      <xdr:row>32</xdr:row>
      <xdr:rowOff>66022</xdr:rowOff>
    </xdr:from>
    <xdr:to>
      <xdr:col>8</xdr:col>
      <xdr:colOff>50715</xdr:colOff>
      <xdr:row>43</xdr:row>
      <xdr:rowOff>9526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</xdr:colOff>
      <xdr:row>0</xdr:row>
      <xdr:rowOff>47625</xdr:rowOff>
    </xdr:from>
    <xdr:to>
      <xdr:col>3</xdr:col>
      <xdr:colOff>479135</xdr:colOff>
      <xdr:row>0</xdr:row>
      <xdr:rowOff>857625</xdr:rowOff>
    </xdr:to>
    <xdr:pic>
      <xdr:nvPicPr>
        <xdr:cNvPr id="5" name="Picture 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7"/>
        <a:stretch/>
      </xdr:blipFill>
      <xdr:spPr bwMode="auto">
        <a:xfrm>
          <a:off x="9525" y="47625"/>
          <a:ext cx="2831810" cy="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571500</xdr:colOff>
      <xdr:row>0</xdr:row>
      <xdr:rowOff>514350</xdr:rowOff>
    </xdr:from>
    <xdr:to>
      <xdr:col>8</xdr:col>
      <xdr:colOff>311150</xdr:colOff>
      <xdr:row>0</xdr:row>
      <xdr:rowOff>685165</xdr:rowOff>
    </xdr:to>
    <xdr:pic>
      <xdr:nvPicPr>
        <xdr:cNvPr id="6" name="Picture 5" descr="eNETDNC"/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410200" y="514350"/>
          <a:ext cx="1225550" cy="1708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39291</xdr:colOff>
      <xdr:row>4</xdr:row>
      <xdr:rowOff>0</xdr:rowOff>
    </xdr:from>
    <xdr:to>
      <xdr:col>8</xdr:col>
      <xdr:colOff>144774</xdr:colOff>
      <xdr:row>16</xdr:row>
      <xdr:rowOff>40822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39291</xdr:colOff>
      <xdr:row>17</xdr:row>
      <xdr:rowOff>136071</xdr:rowOff>
    </xdr:from>
    <xdr:to>
      <xdr:col>8</xdr:col>
      <xdr:colOff>144774</xdr:colOff>
      <xdr:row>30</xdr:row>
      <xdr:rowOff>2068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133351</xdr:colOff>
      <xdr:row>32</xdr:row>
      <xdr:rowOff>66022</xdr:rowOff>
    </xdr:from>
    <xdr:to>
      <xdr:col>8</xdr:col>
      <xdr:colOff>50715</xdr:colOff>
      <xdr:row>43</xdr:row>
      <xdr:rowOff>9526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</xdr:colOff>
      <xdr:row>0</xdr:row>
      <xdr:rowOff>47625</xdr:rowOff>
    </xdr:from>
    <xdr:to>
      <xdr:col>3</xdr:col>
      <xdr:colOff>479135</xdr:colOff>
      <xdr:row>0</xdr:row>
      <xdr:rowOff>857625</xdr:rowOff>
    </xdr:to>
    <xdr:pic>
      <xdr:nvPicPr>
        <xdr:cNvPr id="5" name="Picture 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7"/>
        <a:stretch/>
      </xdr:blipFill>
      <xdr:spPr bwMode="auto">
        <a:xfrm>
          <a:off x="9525" y="47625"/>
          <a:ext cx="2831810" cy="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571500</xdr:colOff>
      <xdr:row>0</xdr:row>
      <xdr:rowOff>514350</xdr:rowOff>
    </xdr:from>
    <xdr:to>
      <xdr:col>8</xdr:col>
      <xdr:colOff>311150</xdr:colOff>
      <xdr:row>0</xdr:row>
      <xdr:rowOff>685165</xdr:rowOff>
    </xdr:to>
    <xdr:pic>
      <xdr:nvPicPr>
        <xdr:cNvPr id="6" name="Picture 5" descr="eNETDNC">
          <a:hlinkClick xmlns:r="http://schemas.openxmlformats.org/officeDocument/2006/relationships" r:id="rId5"/>
        </xdr:cNvPr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410200" y="514350"/>
          <a:ext cx="1225550" cy="1708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8</xdr:col>
      <xdr:colOff>105483</xdr:colOff>
      <xdr:row>15</xdr:row>
      <xdr:rowOff>40822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</xdr:colOff>
      <xdr:row>16</xdr:row>
      <xdr:rowOff>136071</xdr:rowOff>
    </xdr:from>
    <xdr:to>
      <xdr:col>8</xdr:col>
      <xdr:colOff>105484</xdr:colOff>
      <xdr:row>28</xdr:row>
      <xdr:rowOff>173518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31</xdr:row>
      <xdr:rowOff>0</xdr:rowOff>
    </xdr:from>
    <xdr:to>
      <xdr:col>8</xdr:col>
      <xdr:colOff>105483</xdr:colOff>
      <xdr:row>43</xdr:row>
      <xdr:rowOff>37447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8</xdr:col>
      <xdr:colOff>105483</xdr:colOff>
      <xdr:row>15</xdr:row>
      <xdr:rowOff>40822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</xdr:colOff>
      <xdr:row>16</xdr:row>
      <xdr:rowOff>136071</xdr:rowOff>
    </xdr:from>
    <xdr:to>
      <xdr:col>8</xdr:col>
      <xdr:colOff>105484</xdr:colOff>
      <xdr:row>28</xdr:row>
      <xdr:rowOff>173518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31</xdr:row>
      <xdr:rowOff>0</xdr:rowOff>
    </xdr:from>
    <xdr:to>
      <xdr:col>8</xdr:col>
      <xdr:colOff>105483</xdr:colOff>
      <xdr:row>43</xdr:row>
      <xdr:rowOff>37447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553277</xdr:colOff>
      <xdr:row>34</xdr:row>
      <xdr:rowOff>39462</xdr:rowOff>
    </xdr:from>
    <xdr:to>
      <xdr:col>4</xdr:col>
      <xdr:colOff>670760</xdr:colOff>
      <xdr:row>34</xdr:row>
      <xdr:rowOff>162559</xdr:rowOff>
    </xdr:to>
    <xdr:sp macro="" textlink="">
      <xdr:nvSpPr>
        <xdr:cNvPr id="8" name="Rectangle 7"/>
        <xdr:cNvSpPr/>
      </xdr:nvSpPr>
      <xdr:spPr>
        <a:xfrm>
          <a:off x="3797220" y="6897462"/>
          <a:ext cx="117483" cy="123097"/>
        </a:xfrm>
        <a:prstGeom prst="rect">
          <a:avLst/>
        </a:prstGeom>
        <a:solidFill>
          <a:srgbClr val="33CC33"/>
        </a:solidFill>
        <a:ln>
          <a:solidFill>
            <a:schemeClr val="bg1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547437</xdr:colOff>
      <xdr:row>37</xdr:row>
      <xdr:rowOff>1933</xdr:rowOff>
    </xdr:from>
    <xdr:to>
      <xdr:col>4</xdr:col>
      <xdr:colOff>656294</xdr:colOff>
      <xdr:row>37</xdr:row>
      <xdr:rowOff>107156</xdr:rowOff>
    </xdr:to>
    <xdr:sp macro="" textlink="">
      <xdr:nvSpPr>
        <xdr:cNvPr id="10" name="Rectangle 9"/>
        <xdr:cNvSpPr/>
      </xdr:nvSpPr>
      <xdr:spPr>
        <a:xfrm>
          <a:off x="3791380" y="7431433"/>
          <a:ext cx="108857" cy="105223"/>
        </a:xfrm>
        <a:prstGeom prst="rect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521296</xdr:colOff>
      <xdr:row>42</xdr:row>
      <xdr:rowOff>51637</xdr:rowOff>
    </xdr:from>
    <xdr:to>
      <xdr:col>4</xdr:col>
      <xdr:colOff>630153</xdr:colOff>
      <xdr:row>42</xdr:row>
      <xdr:rowOff>156860</xdr:rowOff>
    </xdr:to>
    <xdr:sp macro="" textlink="">
      <xdr:nvSpPr>
        <xdr:cNvPr id="11" name="Rectangle 10"/>
        <xdr:cNvSpPr/>
      </xdr:nvSpPr>
      <xdr:spPr>
        <a:xfrm>
          <a:off x="3759796" y="8433637"/>
          <a:ext cx="108857" cy="105223"/>
        </a:xfrm>
        <a:prstGeom prst="rect">
          <a:avLst/>
        </a:prstGeom>
        <a:solidFill>
          <a:srgbClr val="FFFF00"/>
        </a:solidFill>
        <a:ln>
          <a:solidFill>
            <a:schemeClr val="bg1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4</xdr:col>
      <xdr:colOff>170447</xdr:colOff>
      <xdr:row>33</xdr:row>
      <xdr:rowOff>70184</xdr:rowOff>
    </xdr:from>
    <xdr:ext cx="184731" cy="264560"/>
    <xdr:sp macro="" textlink="">
      <xdr:nvSpPr>
        <xdr:cNvPr id="12" name="TextBox 11"/>
        <xdr:cNvSpPr txBox="1"/>
      </xdr:nvSpPr>
      <xdr:spPr>
        <a:xfrm>
          <a:off x="3408947" y="673768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4</xdr:col>
      <xdr:colOff>540346</xdr:colOff>
      <xdr:row>39</xdr:row>
      <xdr:rowOff>118312</xdr:rowOff>
    </xdr:from>
    <xdr:to>
      <xdr:col>4</xdr:col>
      <xdr:colOff>649203</xdr:colOff>
      <xdr:row>40</xdr:row>
      <xdr:rowOff>33035</xdr:rowOff>
    </xdr:to>
    <xdr:sp macro="" textlink="">
      <xdr:nvSpPr>
        <xdr:cNvPr id="13" name="Rectangle 12"/>
        <xdr:cNvSpPr/>
      </xdr:nvSpPr>
      <xdr:spPr>
        <a:xfrm>
          <a:off x="3778846" y="7928812"/>
          <a:ext cx="108857" cy="105223"/>
        </a:xfrm>
        <a:prstGeom prst="rect">
          <a:avLst/>
        </a:prstGeom>
        <a:solidFill>
          <a:srgbClr val="00B0F0"/>
        </a:solidFill>
        <a:ln>
          <a:solidFill>
            <a:schemeClr val="bg1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419100</xdr:colOff>
      <xdr:row>2</xdr:row>
      <xdr:rowOff>57148</xdr:rowOff>
    </xdr:from>
    <xdr:to>
      <xdr:col>17</xdr:col>
      <xdr:colOff>578052</xdr:colOff>
      <xdr:row>28</xdr:row>
      <xdr:rowOff>119763</xdr:rowOff>
    </xdr:to>
    <xdr:grpSp>
      <xdr:nvGrpSpPr>
        <xdr:cNvPr id="28" name="Group 27"/>
        <xdr:cNvGrpSpPr/>
      </xdr:nvGrpSpPr>
      <xdr:grpSpPr>
        <a:xfrm>
          <a:off x="10012136" y="1662791"/>
          <a:ext cx="3098095" cy="5015615"/>
          <a:chOff x="9539966" y="1657348"/>
          <a:chExt cx="2553811" cy="5402924"/>
        </a:xfrm>
      </xdr:grpSpPr>
      <xdr:graphicFrame macro="">
        <xdr:nvGraphicFramePr>
          <xdr:cNvPr id="16" name="Chart 15"/>
          <xdr:cNvGraphicFramePr>
            <a:graphicFrameLocks noChangeAspect="1"/>
          </xdr:cNvGraphicFramePr>
        </xdr:nvGraphicFramePr>
        <xdr:xfrm>
          <a:off x="9539966" y="1657348"/>
          <a:ext cx="2544286" cy="26882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8" name="Chart 17"/>
          <xdr:cNvGraphicFramePr>
            <a:graphicFrameLocks noChangeAspect="1"/>
          </xdr:cNvGraphicFramePr>
        </xdr:nvGraphicFramePr>
        <xdr:xfrm>
          <a:off x="9549491" y="4371973"/>
          <a:ext cx="2544286" cy="26882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9</xdr:col>
      <xdr:colOff>91166</xdr:colOff>
      <xdr:row>2</xdr:row>
      <xdr:rowOff>57148</xdr:rowOff>
    </xdr:from>
    <xdr:to>
      <xdr:col>13</xdr:col>
      <xdr:colOff>342900</xdr:colOff>
      <xdr:row>41</xdr:row>
      <xdr:rowOff>180975</xdr:rowOff>
    </xdr:to>
    <xdr:grpSp>
      <xdr:nvGrpSpPr>
        <xdr:cNvPr id="27" name="Group 26"/>
        <xdr:cNvGrpSpPr/>
      </xdr:nvGrpSpPr>
      <xdr:grpSpPr>
        <a:xfrm>
          <a:off x="6745059" y="1662791"/>
          <a:ext cx="3190877" cy="7553327"/>
          <a:chOff x="6606266" y="1657348"/>
          <a:chExt cx="2544286" cy="8136599"/>
        </a:xfrm>
      </xdr:grpSpPr>
      <xdr:graphicFrame macro="">
        <xdr:nvGraphicFramePr>
          <xdr:cNvPr id="14" name="Chart 13"/>
          <xdr:cNvGraphicFramePr>
            <a:graphicFrameLocks noChangeAspect="1"/>
          </xdr:cNvGraphicFramePr>
        </xdr:nvGraphicFramePr>
        <xdr:xfrm>
          <a:off x="6606266" y="1657348"/>
          <a:ext cx="2544286" cy="26882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7" name="Chart 16"/>
          <xdr:cNvGraphicFramePr>
            <a:graphicFrameLocks noChangeAspect="1"/>
          </xdr:cNvGraphicFramePr>
        </xdr:nvGraphicFramePr>
        <xdr:xfrm>
          <a:off x="6606266" y="4371973"/>
          <a:ext cx="2544286" cy="26882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9" name="Chart 18"/>
          <xdr:cNvGraphicFramePr>
            <a:graphicFrameLocks noChangeAspect="1"/>
          </xdr:cNvGraphicFramePr>
        </xdr:nvGraphicFramePr>
        <xdr:xfrm>
          <a:off x="6606266" y="7105648"/>
          <a:ext cx="2544286" cy="26882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14</xdr:col>
      <xdr:colOff>511771</xdr:colOff>
      <xdr:row>32</xdr:row>
      <xdr:rowOff>48987</xdr:rowOff>
    </xdr:from>
    <xdr:to>
      <xdr:col>14</xdr:col>
      <xdr:colOff>661235</xdr:colOff>
      <xdr:row>38</xdr:row>
      <xdr:rowOff>166385</xdr:rowOff>
    </xdr:to>
    <xdr:grpSp>
      <xdr:nvGrpSpPr>
        <xdr:cNvPr id="9" name="Group 8"/>
        <xdr:cNvGrpSpPr/>
      </xdr:nvGrpSpPr>
      <xdr:grpSpPr>
        <a:xfrm>
          <a:off x="10839592" y="7369630"/>
          <a:ext cx="149464" cy="1260398"/>
          <a:chOff x="10151071" y="7926162"/>
          <a:chExt cx="149464" cy="1260398"/>
        </a:xfrm>
      </xdr:grpSpPr>
      <xdr:sp macro="" textlink="">
        <xdr:nvSpPr>
          <xdr:cNvPr id="20" name="Rectangle 19"/>
          <xdr:cNvSpPr/>
        </xdr:nvSpPr>
        <xdr:spPr>
          <a:xfrm>
            <a:off x="10183052" y="7926162"/>
            <a:ext cx="117483" cy="123097"/>
          </a:xfrm>
          <a:prstGeom prst="rect">
            <a:avLst/>
          </a:prstGeom>
          <a:solidFill>
            <a:srgbClr val="33CC33"/>
          </a:solidFill>
          <a:ln>
            <a:solidFill>
              <a:schemeClr val="bg1"/>
            </a:solidFill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21" name="Rectangle 20"/>
          <xdr:cNvSpPr/>
        </xdr:nvSpPr>
        <xdr:spPr>
          <a:xfrm>
            <a:off x="10177212" y="8317258"/>
            <a:ext cx="108857" cy="105223"/>
          </a:xfrm>
          <a:prstGeom prst="rect">
            <a:avLst/>
          </a:prstGeom>
          <a:solidFill>
            <a:srgbClr val="FF0000"/>
          </a:solidFill>
          <a:ln>
            <a:solidFill>
              <a:schemeClr val="bg1"/>
            </a:solidFill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22" name="Rectangle 21"/>
          <xdr:cNvSpPr/>
        </xdr:nvSpPr>
        <xdr:spPr>
          <a:xfrm>
            <a:off x="10151071" y="9081337"/>
            <a:ext cx="108857" cy="105223"/>
          </a:xfrm>
          <a:prstGeom prst="rect">
            <a:avLst/>
          </a:prstGeom>
          <a:solidFill>
            <a:srgbClr val="FFFF00"/>
          </a:solidFill>
          <a:ln>
            <a:solidFill>
              <a:schemeClr val="bg1"/>
            </a:solidFill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24" name="Rectangle 23"/>
          <xdr:cNvSpPr/>
        </xdr:nvSpPr>
        <xdr:spPr>
          <a:xfrm>
            <a:off x="10170121" y="8700337"/>
            <a:ext cx="108857" cy="105223"/>
          </a:xfrm>
          <a:prstGeom prst="rect">
            <a:avLst/>
          </a:prstGeom>
          <a:solidFill>
            <a:srgbClr val="00B0F0"/>
          </a:solidFill>
          <a:ln>
            <a:solidFill>
              <a:schemeClr val="bg1"/>
            </a:solidFill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</xdr:grpSp>
    <xdr:clientData/>
  </xdr:twoCellAnchor>
  <xdr:twoCellAnchor editAs="oneCell">
    <xdr:from>
      <xdr:col>9</xdr:col>
      <xdr:colOff>9525</xdr:colOff>
      <xdr:row>0</xdr:row>
      <xdr:rowOff>47625</xdr:rowOff>
    </xdr:from>
    <xdr:to>
      <xdr:col>13</xdr:col>
      <xdr:colOff>98135</xdr:colOff>
      <xdr:row>0</xdr:row>
      <xdr:rowOff>857625</xdr:rowOff>
    </xdr:to>
    <xdr:pic>
      <xdr:nvPicPr>
        <xdr:cNvPr id="25" name="Picture 2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7"/>
        <a:stretch/>
      </xdr:blipFill>
      <xdr:spPr bwMode="auto">
        <a:xfrm>
          <a:off x="9525" y="47625"/>
          <a:ext cx="2831810" cy="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571500</xdr:colOff>
      <xdr:row>0</xdr:row>
      <xdr:rowOff>514350</xdr:rowOff>
    </xdr:from>
    <xdr:to>
      <xdr:col>17</xdr:col>
      <xdr:colOff>425450</xdr:colOff>
      <xdr:row>0</xdr:row>
      <xdr:rowOff>685165</xdr:rowOff>
    </xdr:to>
    <xdr:pic>
      <xdr:nvPicPr>
        <xdr:cNvPr id="26" name="Picture 25" descr="eNETDNC">
          <a:hlinkClick xmlns:r="http://schemas.openxmlformats.org/officeDocument/2006/relationships" r:id="rId7"/>
        </xdr:cNvPr>
        <xdr:cNvPicPr/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410200" y="514350"/>
          <a:ext cx="1225550" cy="1708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55908</xdr:colOff>
      <xdr:row>5</xdr:row>
      <xdr:rowOff>16565</xdr:rowOff>
    </xdr:from>
    <xdr:to>
      <xdr:col>8</xdr:col>
      <xdr:colOff>476002</xdr:colOff>
      <xdr:row>16</xdr:row>
      <xdr:rowOff>115625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57977</xdr:colOff>
      <xdr:row>18</xdr:row>
      <xdr:rowOff>33130</xdr:rowOff>
    </xdr:from>
    <xdr:to>
      <xdr:col>8</xdr:col>
      <xdr:colOff>474791</xdr:colOff>
      <xdr:row>29</xdr:row>
      <xdr:rowOff>132190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51589</xdr:colOff>
      <xdr:row>31</xdr:row>
      <xdr:rowOff>49103</xdr:rowOff>
    </xdr:from>
    <xdr:to>
      <xdr:col>8</xdr:col>
      <xdr:colOff>468403</xdr:colOff>
      <xdr:row>42</xdr:row>
      <xdr:rowOff>148163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628636</xdr:colOff>
      <xdr:row>0</xdr:row>
      <xdr:rowOff>810000</xdr:rowOff>
    </xdr:to>
    <xdr:pic>
      <xdr:nvPicPr>
        <xdr:cNvPr id="5" name="Picture 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7"/>
        <a:stretch/>
      </xdr:blipFill>
      <xdr:spPr bwMode="auto">
        <a:xfrm>
          <a:off x="0" y="0"/>
          <a:ext cx="2831810" cy="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4C4C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952914</xdr:colOff>
      <xdr:row>0</xdr:row>
      <xdr:rowOff>466725</xdr:rowOff>
    </xdr:from>
    <xdr:to>
      <xdr:col>8</xdr:col>
      <xdr:colOff>596486</xdr:colOff>
      <xdr:row>0</xdr:row>
      <xdr:rowOff>637540</xdr:rowOff>
    </xdr:to>
    <xdr:pic>
      <xdr:nvPicPr>
        <xdr:cNvPr id="6" name="Picture 5" descr="eNETDNC"/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12610" y="466725"/>
          <a:ext cx="1225550" cy="170815"/>
        </a:xfrm>
        <a:prstGeom prst="rect">
          <a:avLst/>
        </a:prstGeom>
        <a:solidFill>
          <a:srgbClr val="FF6666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590549</xdr:colOff>
      <xdr:row>4</xdr:row>
      <xdr:rowOff>38100</xdr:rowOff>
    </xdr:from>
    <xdr:to>
      <xdr:col>25</xdr:col>
      <xdr:colOff>361950</xdr:colOff>
      <xdr:row>18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533399</xdr:colOff>
      <xdr:row>19</xdr:row>
      <xdr:rowOff>38100</xdr:rowOff>
    </xdr:from>
    <xdr:to>
      <xdr:col>25</xdr:col>
      <xdr:colOff>304799</xdr:colOff>
      <xdr:row>33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581025</xdr:colOff>
      <xdr:row>33</xdr:row>
      <xdr:rowOff>180975</xdr:rowOff>
    </xdr:from>
    <xdr:to>
      <xdr:col>25</xdr:col>
      <xdr:colOff>352425</xdr:colOff>
      <xdr:row>48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14</xdr:row>
      <xdr:rowOff>180975</xdr:rowOff>
    </xdr:from>
    <xdr:to>
      <xdr:col>8</xdr:col>
      <xdr:colOff>1109869</xdr:colOff>
      <xdr:row>34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407076</xdr:colOff>
      <xdr:row>0</xdr:row>
      <xdr:rowOff>810000</xdr:rowOff>
    </xdr:to>
    <xdr:pic>
      <xdr:nvPicPr>
        <xdr:cNvPr id="3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7"/>
        <a:stretch/>
      </xdr:blipFill>
      <xdr:spPr bwMode="auto">
        <a:xfrm>
          <a:off x="0" y="0"/>
          <a:ext cx="2676511" cy="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104360</xdr:colOff>
      <xdr:row>0</xdr:row>
      <xdr:rowOff>466725</xdr:rowOff>
    </xdr:from>
    <xdr:to>
      <xdr:col>8</xdr:col>
      <xdr:colOff>1148107</xdr:colOff>
      <xdr:row>0</xdr:row>
      <xdr:rowOff>637540</xdr:rowOff>
    </xdr:to>
    <xdr:pic>
      <xdr:nvPicPr>
        <xdr:cNvPr id="4" name="Picture 3" descr="eNETDNC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148469" y="466725"/>
          <a:ext cx="1110422" cy="1708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5</xdr:row>
      <xdr:rowOff>123825</xdr:rowOff>
    </xdr:from>
    <xdr:to>
      <xdr:col>6</xdr:col>
      <xdr:colOff>1181100</xdr:colOff>
      <xdr:row>13</xdr:row>
      <xdr:rowOff>114300</xdr:rowOff>
    </xdr:to>
    <xdr:cxnSp macro="">
      <xdr:nvCxnSpPr>
        <xdr:cNvPr id="4" name="Straight Arrow Connector 3"/>
        <xdr:cNvCxnSpPr/>
      </xdr:nvCxnSpPr>
      <xdr:spPr>
        <a:xfrm>
          <a:off x="3400425" y="1638300"/>
          <a:ext cx="1104900" cy="16383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123825</xdr:colOff>
      <xdr:row>5</xdr:row>
      <xdr:rowOff>114300</xdr:rowOff>
    </xdr:from>
    <xdr:to>
      <xdr:col>9</xdr:col>
      <xdr:colOff>1171575</xdr:colOff>
      <xdr:row>13</xdr:row>
      <xdr:rowOff>114300</xdr:rowOff>
    </xdr:to>
    <xdr:cxnSp macro="">
      <xdr:nvCxnSpPr>
        <xdr:cNvPr id="8" name="Straight Arrow Connector 7"/>
        <xdr:cNvCxnSpPr/>
      </xdr:nvCxnSpPr>
      <xdr:spPr>
        <a:xfrm flipV="1">
          <a:off x="4714875" y="1628775"/>
          <a:ext cx="1047750" cy="1647825"/>
        </a:xfrm>
        <a:prstGeom prst="straightConnector1">
          <a:avLst/>
        </a:prstGeom>
        <a:ln>
          <a:solidFill>
            <a:srgbClr val="33CC33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18</xdr:row>
      <xdr:rowOff>123825</xdr:rowOff>
    </xdr:from>
    <xdr:to>
      <xdr:col>6</xdr:col>
      <xdr:colOff>1181100</xdr:colOff>
      <xdr:row>26</xdr:row>
      <xdr:rowOff>114300</xdr:rowOff>
    </xdr:to>
    <xdr:cxnSp macro="">
      <xdr:nvCxnSpPr>
        <xdr:cNvPr id="10" name="Straight Arrow Connector 9"/>
        <xdr:cNvCxnSpPr/>
      </xdr:nvCxnSpPr>
      <xdr:spPr>
        <a:xfrm>
          <a:off x="3400425" y="1447800"/>
          <a:ext cx="1104900" cy="16383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123825</xdr:colOff>
      <xdr:row>18</xdr:row>
      <xdr:rowOff>114300</xdr:rowOff>
    </xdr:from>
    <xdr:to>
      <xdr:col>9</xdr:col>
      <xdr:colOff>1171575</xdr:colOff>
      <xdr:row>26</xdr:row>
      <xdr:rowOff>114300</xdr:rowOff>
    </xdr:to>
    <xdr:cxnSp macro="">
      <xdr:nvCxnSpPr>
        <xdr:cNvPr id="11" name="Straight Arrow Connector 10"/>
        <xdr:cNvCxnSpPr/>
      </xdr:nvCxnSpPr>
      <xdr:spPr>
        <a:xfrm flipV="1">
          <a:off x="4714875" y="1438275"/>
          <a:ext cx="1047750" cy="1647825"/>
        </a:xfrm>
        <a:prstGeom prst="straightConnector1">
          <a:avLst/>
        </a:prstGeom>
        <a:ln>
          <a:solidFill>
            <a:srgbClr val="33CC33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123825</xdr:colOff>
      <xdr:row>31</xdr:row>
      <xdr:rowOff>114300</xdr:rowOff>
    </xdr:from>
    <xdr:to>
      <xdr:col>9</xdr:col>
      <xdr:colOff>1171575</xdr:colOff>
      <xdr:row>39</xdr:row>
      <xdr:rowOff>114300</xdr:rowOff>
    </xdr:to>
    <xdr:cxnSp macro="">
      <xdr:nvCxnSpPr>
        <xdr:cNvPr id="13" name="Straight Arrow Connector 12"/>
        <xdr:cNvCxnSpPr/>
      </xdr:nvCxnSpPr>
      <xdr:spPr>
        <a:xfrm flipV="1">
          <a:off x="4714875" y="1438275"/>
          <a:ext cx="1047750" cy="1647825"/>
        </a:xfrm>
        <a:prstGeom prst="straightConnector1">
          <a:avLst/>
        </a:prstGeom>
        <a:ln>
          <a:solidFill>
            <a:srgbClr val="33CC33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31</xdr:row>
      <xdr:rowOff>133350</xdr:rowOff>
    </xdr:from>
    <xdr:to>
      <xdr:col>6</xdr:col>
      <xdr:colOff>1104900</xdr:colOff>
      <xdr:row>39</xdr:row>
      <xdr:rowOff>133350</xdr:rowOff>
    </xdr:to>
    <xdr:cxnSp macro="">
      <xdr:nvCxnSpPr>
        <xdr:cNvPr id="15" name="Straight Arrow Connector 14"/>
        <xdr:cNvCxnSpPr/>
      </xdr:nvCxnSpPr>
      <xdr:spPr>
        <a:xfrm flipV="1">
          <a:off x="3381375" y="6753225"/>
          <a:ext cx="1047750" cy="1647825"/>
        </a:xfrm>
        <a:prstGeom prst="straightConnector1">
          <a:avLst/>
        </a:prstGeom>
        <a:ln>
          <a:solidFill>
            <a:srgbClr val="33CC33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ctrlProp" Target="../ctrlProps/ctrlProp4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trlProp" Target="../ctrlProps/ctrlProp3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2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6.xml"/><Relationship Id="rId10" Type="http://schemas.openxmlformats.org/officeDocument/2006/relationships/ctrlProp" Target="../ctrlProps/ctrlProp1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trlProp" Target="../ctrlProps/ctrlProp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rgb="FFFF0000"/>
  </sheetPr>
  <dimension ref="A1:R1829"/>
  <sheetViews>
    <sheetView tabSelected="1" zoomScale="150" zoomScaleNormal="150" workbookViewId="0">
      <selection activeCell="O2" sqref="O2"/>
    </sheetView>
  </sheetViews>
  <sheetFormatPr defaultRowHeight="15" x14ac:dyDescent="0.25"/>
  <cols>
    <col min="1" max="16384" width="9.140625" style="186"/>
  </cols>
  <sheetData>
    <row r="1" spans="1:18" ht="45.75" customHeight="1" x14ac:dyDescent="0.55000000000000004">
      <c r="A1" s="189"/>
      <c r="B1" s="189"/>
      <c r="C1" s="189"/>
      <c r="D1" s="189"/>
      <c r="E1" s="189"/>
      <c r="F1" s="189"/>
      <c r="G1" s="193"/>
      <c r="H1" s="193"/>
      <c r="I1" s="193"/>
      <c r="J1"/>
      <c r="K1"/>
      <c r="L1"/>
      <c r="M1"/>
      <c r="N1"/>
      <c r="O1"/>
      <c r="P1"/>
      <c r="Q1"/>
      <c r="R1"/>
    </row>
    <row r="2" spans="1:18" ht="45.75" customHeight="1" thickBot="1" x14ac:dyDescent="0.3">
      <c r="A2" s="187"/>
      <c r="B2" s="187"/>
      <c r="C2" s="187"/>
      <c r="D2" s="187"/>
      <c r="E2" s="187"/>
      <c r="F2" s="187"/>
      <c r="G2" s="187"/>
      <c r="H2" s="187"/>
      <c r="I2" s="188"/>
      <c r="J2"/>
      <c r="K2"/>
      <c r="L2"/>
      <c r="M2"/>
      <c r="N2"/>
      <c r="O2"/>
      <c r="P2"/>
      <c r="Q2"/>
      <c r="R2"/>
    </row>
    <row r="3" spans="1:18" x14ac:dyDescent="0.25">
      <c r="B3" s="18"/>
      <c r="C3" s="18"/>
      <c r="D3" s="18"/>
      <c r="E3" s="18"/>
      <c r="F3" s="18"/>
      <c r="G3" s="18"/>
      <c r="H3" s="18"/>
      <c r="I3" s="18"/>
      <c r="J3"/>
      <c r="K3"/>
      <c r="L3"/>
      <c r="M3"/>
      <c r="N3"/>
      <c r="O3"/>
      <c r="P3"/>
      <c r="Q3"/>
      <c r="R3"/>
    </row>
    <row r="4" spans="1:18" x14ac:dyDescent="0.25">
      <c r="B4" s="18"/>
      <c r="C4" s="18"/>
      <c r="D4" s="18"/>
      <c r="H4" s="18"/>
      <c r="I4" s="18"/>
      <c r="J4"/>
      <c r="K4"/>
      <c r="L4"/>
      <c r="M4"/>
      <c r="N4"/>
      <c r="O4"/>
      <c r="P4"/>
      <c r="Q4"/>
      <c r="R4"/>
    </row>
    <row r="5" spans="1:18" x14ac:dyDescent="0.25">
      <c r="B5" s="18"/>
      <c r="C5" s="18"/>
      <c r="D5" s="18"/>
      <c r="H5" s="18"/>
      <c r="I5" s="18"/>
      <c r="J5"/>
      <c r="K5"/>
      <c r="L5"/>
      <c r="M5"/>
      <c r="N5"/>
      <c r="O5"/>
      <c r="P5"/>
      <c r="Q5"/>
      <c r="R5"/>
    </row>
    <row r="6" spans="1:18" x14ac:dyDescent="0.25">
      <c r="B6" s="18"/>
      <c r="C6" s="18"/>
      <c r="D6" s="18"/>
      <c r="H6" s="18"/>
      <c r="I6" s="18"/>
      <c r="J6"/>
      <c r="K6"/>
      <c r="L6"/>
      <c r="M6"/>
      <c r="N6"/>
      <c r="O6"/>
      <c r="P6"/>
      <c r="Q6"/>
      <c r="R6"/>
    </row>
    <row r="7" spans="1:18" x14ac:dyDescent="0.25">
      <c r="B7" s="18"/>
      <c r="C7" s="18"/>
      <c r="D7" s="18"/>
      <c r="H7" s="18"/>
      <c r="I7" s="18"/>
      <c r="J7"/>
      <c r="K7"/>
      <c r="L7"/>
      <c r="M7"/>
      <c r="N7"/>
      <c r="O7"/>
      <c r="P7"/>
      <c r="Q7"/>
      <c r="R7"/>
    </row>
    <row r="8" spans="1:18" x14ac:dyDescent="0.25">
      <c r="B8" s="18"/>
      <c r="C8" s="18"/>
      <c r="D8" s="18"/>
      <c r="E8" s="18"/>
      <c r="F8" s="18"/>
      <c r="G8" s="18"/>
      <c r="H8" s="18"/>
      <c r="I8" s="18"/>
      <c r="J8"/>
      <c r="K8"/>
      <c r="L8"/>
      <c r="M8"/>
      <c r="N8"/>
      <c r="O8"/>
      <c r="P8"/>
      <c r="Q8"/>
      <c r="R8"/>
    </row>
    <row r="9" spans="1:18" x14ac:dyDescent="0.25">
      <c r="B9" s="18"/>
      <c r="C9" s="18"/>
      <c r="D9" s="18"/>
      <c r="E9" s="18"/>
      <c r="F9" s="18"/>
      <c r="G9" s="18"/>
      <c r="H9" s="18"/>
      <c r="I9" s="18"/>
      <c r="J9"/>
      <c r="K9"/>
      <c r="L9"/>
      <c r="M9"/>
      <c r="N9"/>
      <c r="O9"/>
      <c r="P9"/>
      <c r="Q9"/>
      <c r="R9"/>
    </row>
    <row r="10" spans="1:18" x14ac:dyDescent="0.25">
      <c r="B10" s="18"/>
      <c r="C10" s="18"/>
      <c r="D10" s="18"/>
      <c r="E10" s="18"/>
      <c r="F10" s="18"/>
      <c r="G10" s="18"/>
      <c r="H10" s="18"/>
      <c r="I10" s="18"/>
      <c r="J10"/>
      <c r="K10"/>
      <c r="L10"/>
      <c r="M10"/>
      <c r="N10"/>
      <c r="O10"/>
      <c r="P10"/>
      <c r="Q10"/>
      <c r="R10"/>
    </row>
    <row r="11" spans="1:18" x14ac:dyDescent="0.25">
      <c r="B11" s="18"/>
      <c r="C11" s="18"/>
      <c r="D11" s="18"/>
      <c r="E11" s="18"/>
      <c r="F11" s="18"/>
      <c r="G11" s="18"/>
      <c r="H11" s="18"/>
      <c r="I11" s="18"/>
      <c r="J11"/>
      <c r="K11"/>
      <c r="L11"/>
      <c r="M11"/>
      <c r="N11"/>
      <c r="O11"/>
      <c r="P11"/>
      <c r="Q11"/>
      <c r="R11"/>
    </row>
    <row r="12" spans="1:18" x14ac:dyDescent="0.25">
      <c r="B12" s="18"/>
      <c r="C12" s="18"/>
      <c r="D12" s="18"/>
      <c r="E12" s="18"/>
      <c r="F12" s="18"/>
      <c r="G12" s="18"/>
      <c r="H12" s="18"/>
      <c r="I12" s="18"/>
      <c r="J12"/>
      <c r="K12"/>
      <c r="L12"/>
      <c r="M12"/>
      <c r="N12"/>
      <c r="O12"/>
      <c r="P12"/>
      <c r="Q12"/>
      <c r="R12"/>
    </row>
    <row r="13" spans="1:18" x14ac:dyDescent="0.25">
      <c r="B13" s="18"/>
      <c r="C13" s="18"/>
      <c r="D13" s="18"/>
      <c r="E13" s="18"/>
      <c r="F13" s="18"/>
      <c r="G13" s="18"/>
      <c r="H13" s="18"/>
      <c r="I13" s="18"/>
      <c r="J13"/>
      <c r="K13"/>
      <c r="L13"/>
      <c r="M13"/>
      <c r="N13"/>
      <c r="O13"/>
      <c r="P13"/>
      <c r="Q13"/>
      <c r="R13"/>
    </row>
    <row r="14" spans="1:18" x14ac:dyDescent="0.25">
      <c r="B14" s="18"/>
      <c r="C14" s="18"/>
      <c r="D14" s="18"/>
      <c r="E14" s="18"/>
      <c r="F14" s="18"/>
      <c r="G14" s="18"/>
      <c r="H14" s="18"/>
      <c r="I14" s="18"/>
      <c r="J14"/>
      <c r="K14"/>
      <c r="L14"/>
      <c r="M14"/>
      <c r="N14"/>
      <c r="O14"/>
      <c r="P14"/>
      <c r="Q14"/>
      <c r="R14"/>
    </row>
    <row r="15" spans="1:18" x14ac:dyDescent="0.25">
      <c r="B15" s="18"/>
      <c r="C15" s="18"/>
      <c r="D15" s="18"/>
      <c r="E15" s="18"/>
      <c r="F15" s="18"/>
      <c r="G15" s="18"/>
      <c r="H15" s="18"/>
      <c r="I15" s="18"/>
      <c r="J15"/>
      <c r="K15"/>
      <c r="L15"/>
      <c r="M15"/>
      <c r="N15"/>
      <c r="O15"/>
      <c r="P15"/>
      <c r="Q15"/>
      <c r="R15"/>
    </row>
    <row r="16" spans="1:18" x14ac:dyDescent="0.25">
      <c r="B16" s="18"/>
      <c r="C16" s="18"/>
      <c r="D16" s="18"/>
      <c r="E16" s="18"/>
      <c r="F16" s="18"/>
      <c r="G16" s="18"/>
      <c r="H16" s="18"/>
      <c r="I16" s="18"/>
      <c r="J16"/>
      <c r="K16"/>
      <c r="L16"/>
      <c r="M16"/>
      <c r="N16"/>
      <c r="O16"/>
      <c r="P16"/>
      <c r="Q16"/>
      <c r="R16"/>
    </row>
    <row r="17" spans="2:18" x14ac:dyDescent="0.25">
      <c r="B17" s="18"/>
      <c r="C17" s="18"/>
      <c r="D17" s="18"/>
      <c r="E17" s="18"/>
      <c r="F17" s="18"/>
      <c r="G17" s="18"/>
      <c r="H17" s="18"/>
      <c r="I17" s="18"/>
      <c r="J17"/>
      <c r="K17"/>
      <c r="L17"/>
      <c r="M17"/>
      <c r="N17"/>
      <c r="O17"/>
      <c r="P17"/>
      <c r="Q17"/>
      <c r="R17"/>
    </row>
    <row r="18" spans="2:18" x14ac:dyDescent="0.25">
      <c r="B18" s="18"/>
      <c r="C18" s="18"/>
      <c r="D18" s="18"/>
      <c r="E18" s="18"/>
      <c r="F18" s="18"/>
      <c r="G18" s="18"/>
      <c r="H18" s="18"/>
      <c r="I18" s="18"/>
      <c r="J18"/>
      <c r="K18"/>
      <c r="L18"/>
      <c r="M18"/>
      <c r="N18"/>
      <c r="O18"/>
      <c r="P18"/>
      <c r="Q18"/>
      <c r="R18"/>
    </row>
    <row r="19" spans="2:18" x14ac:dyDescent="0.25">
      <c r="B19" s="18"/>
      <c r="C19" s="18"/>
      <c r="D19" s="18"/>
      <c r="E19" s="18"/>
      <c r="F19" s="18"/>
      <c r="G19" s="18"/>
      <c r="H19" s="18"/>
      <c r="I19" s="18"/>
      <c r="J19"/>
      <c r="K19"/>
      <c r="L19"/>
      <c r="M19"/>
      <c r="N19"/>
      <c r="O19"/>
      <c r="P19"/>
      <c r="Q19"/>
      <c r="R19"/>
    </row>
    <row r="20" spans="2:18" x14ac:dyDescent="0.25">
      <c r="B20" s="18"/>
      <c r="C20" s="18"/>
      <c r="D20" s="18"/>
      <c r="E20" s="18"/>
      <c r="F20" s="18"/>
      <c r="G20" s="18"/>
      <c r="H20" s="18"/>
      <c r="I20" s="18"/>
      <c r="J20"/>
      <c r="K20"/>
      <c r="L20"/>
      <c r="M20"/>
      <c r="N20"/>
      <c r="O20"/>
      <c r="P20"/>
      <c r="Q20"/>
      <c r="R20"/>
    </row>
    <row r="21" spans="2:18" x14ac:dyDescent="0.25">
      <c r="B21" s="18"/>
      <c r="C21" s="18"/>
      <c r="D21" s="18"/>
      <c r="E21" s="18"/>
      <c r="F21" s="18"/>
      <c r="G21" s="18"/>
      <c r="H21" s="18"/>
      <c r="I21" s="18"/>
      <c r="J21"/>
      <c r="K21"/>
      <c r="L21"/>
      <c r="M21"/>
      <c r="N21"/>
      <c r="O21"/>
      <c r="P21"/>
      <c r="Q21"/>
      <c r="R21"/>
    </row>
    <row r="22" spans="2:18" x14ac:dyDescent="0.25">
      <c r="B22" s="18"/>
      <c r="C22" s="18"/>
      <c r="D22" s="18"/>
      <c r="E22" s="18"/>
      <c r="F22" s="18"/>
      <c r="G22" s="18"/>
      <c r="H22" s="18"/>
      <c r="I22" s="18"/>
      <c r="J22"/>
      <c r="K22"/>
      <c r="L22"/>
      <c r="M22"/>
      <c r="N22"/>
      <c r="O22"/>
      <c r="P22"/>
      <c r="Q22"/>
      <c r="R22"/>
    </row>
    <row r="23" spans="2:18" x14ac:dyDescent="0.25">
      <c r="B23" s="18"/>
      <c r="C23" s="18"/>
      <c r="D23" s="18"/>
      <c r="E23" s="18"/>
      <c r="F23" s="18"/>
      <c r="G23" s="18"/>
      <c r="H23" s="18"/>
      <c r="I23" s="18"/>
      <c r="J23"/>
      <c r="K23"/>
      <c r="L23"/>
      <c r="M23"/>
      <c r="N23"/>
      <c r="O23"/>
      <c r="P23"/>
      <c r="Q23"/>
      <c r="R23"/>
    </row>
    <row r="24" spans="2:18" x14ac:dyDescent="0.25">
      <c r="B24" s="18"/>
      <c r="C24" s="18"/>
      <c r="D24" s="18"/>
      <c r="E24" s="18"/>
      <c r="F24" s="18"/>
      <c r="G24" s="18"/>
      <c r="H24" s="18"/>
      <c r="I24" s="18"/>
      <c r="J24"/>
      <c r="K24"/>
      <c r="L24"/>
      <c r="M24"/>
      <c r="N24"/>
      <c r="O24"/>
      <c r="P24"/>
      <c r="Q24"/>
      <c r="R24"/>
    </row>
    <row r="25" spans="2:18" x14ac:dyDescent="0.25">
      <c r="J25"/>
      <c r="K25"/>
      <c r="L25"/>
      <c r="M25"/>
      <c r="N25"/>
      <c r="O25"/>
      <c r="P25"/>
      <c r="Q25"/>
      <c r="R25"/>
    </row>
    <row r="26" spans="2:18" x14ac:dyDescent="0.25">
      <c r="J26"/>
      <c r="K26"/>
      <c r="L26"/>
      <c r="M26"/>
      <c r="N26"/>
      <c r="O26"/>
      <c r="P26"/>
      <c r="Q26"/>
      <c r="R26"/>
    </row>
    <row r="27" spans="2:18" x14ac:dyDescent="0.25">
      <c r="J27"/>
      <c r="K27"/>
      <c r="L27"/>
      <c r="M27"/>
      <c r="N27"/>
      <c r="O27"/>
      <c r="P27"/>
      <c r="Q27"/>
      <c r="R27"/>
    </row>
    <row r="28" spans="2:18" x14ac:dyDescent="0.25">
      <c r="J28"/>
      <c r="K28"/>
      <c r="L28"/>
      <c r="M28"/>
      <c r="N28"/>
      <c r="O28"/>
      <c r="P28"/>
      <c r="Q28"/>
      <c r="R28"/>
    </row>
    <row r="29" spans="2:18" x14ac:dyDescent="0.25">
      <c r="J29"/>
      <c r="K29"/>
      <c r="L29"/>
      <c r="M29"/>
      <c r="N29"/>
      <c r="O29"/>
      <c r="P29"/>
      <c r="Q29"/>
      <c r="R29"/>
    </row>
    <row r="30" spans="2:18" x14ac:dyDescent="0.25">
      <c r="J30"/>
      <c r="K30"/>
      <c r="L30"/>
      <c r="M30"/>
      <c r="N30"/>
      <c r="O30"/>
      <c r="P30"/>
      <c r="Q30"/>
      <c r="R30"/>
    </row>
    <row r="31" spans="2:18" x14ac:dyDescent="0.25">
      <c r="J31"/>
      <c r="K31"/>
      <c r="L31"/>
      <c r="M31"/>
      <c r="N31"/>
      <c r="O31"/>
      <c r="P31"/>
      <c r="Q31"/>
      <c r="R31"/>
    </row>
    <row r="32" spans="2:18" x14ac:dyDescent="0.25">
      <c r="J32"/>
      <c r="K32"/>
      <c r="L32"/>
      <c r="M32"/>
      <c r="N32"/>
      <c r="O32"/>
      <c r="P32"/>
      <c r="Q32"/>
      <c r="R32"/>
    </row>
    <row r="33" spans="1:18" x14ac:dyDescent="0.25">
      <c r="J33"/>
      <c r="K33"/>
      <c r="L33"/>
      <c r="M33"/>
      <c r="N33"/>
      <c r="O33"/>
      <c r="P33"/>
      <c r="Q33"/>
      <c r="R33"/>
    </row>
    <row r="34" spans="1:18" x14ac:dyDescent="0.25">
      <c r="J34"/>
      <c r="K34"/>
      <c r="L34"/>
      <c r="M34"/>
      <c r="N34"/>
      <c r="O34"/>
      <c r="P34"/>
      <c r="Q34"/>
      <c r="R34"/>
    </row>
    <row r="35" spans="1:18" x14ac:dyDescent="0.25">
      <c r="J35"/>
      <c r="K35"/>
      <c r="L35"/>
      <c r="M35"/>
      <c r="N35"/>
      <c r="O35"/>
      <c r="P35"/>
      <c r="Q35"/>
      <c r="R35"/>
    </row>
    <row r="36" spans="1:18" x14ac:dyDescent="0.25">
      <c r="J36"/>
      <c r="K36"/>
      <c r="L36"/>
      <c r="M36"/>
      <c r="N36"/>
      <c r="O36"/>
      <c r="P36"/>
      <c r="Q36"/>
      <c r="R36"/>
    </row>
    <row r="37" spans="1:18" x14ac:dyDescent="0.25">
      <c r="J37"/>
      <c r="K37"/>
      <c r="L37"/>
      <c r="M37"/>
      <c r="N37"/>
      <c r="O37"/>
      <c r="P37"/>
      <c r="Q37"/>
      <c r="R37"/>
    </row>
    <row r="38" spans="1:18" x14ac:dyDescent="0.25">
      <c r="J38"/>
      <c r="K38"/>
      <c r="L38"/>
      <c r="M38"/>
      <c r="N38"/>
      <c r="O38"/>
      <c r="P38"/>
      <c r="Q38"/>
      <c r="R38"/>
    </row>
    <row r="39" spans="1:18" x14ac:dyDescent="0.25">
      <c r="J39"/>
      <c r="K39"/>
      <c r="L39"/>
      <c r="M39"/>
      <c r="N39"/>
      <c r="O39"/>
      <c r="P39"/>
      <c r="Q39"/>
      <c r="R39"/>
    </row>
    <row r="40" spans="1:18" x14ac:dyDescent="0.25">
      <c r="J40"/>
      <c r="K40"/>
      <c r="L40"/>
      <c r="M40"/>
      <c r="N40"/>
      <c r="O40"/>
      <c r="P40"/>
      <c r="Q40"/>
      <c r="R40"/>
    </row>
    <row r="41" spans="1:18" x14ac:dyDescent="0.25">
      <c r="J41"/>
      <c r="K41"/>
      <c r="L41"/>
      <c r="M41"/>
      <c r="N41"/>
      <c r="O41"/>
      <c r="P41"/>
      <c r="Q41"/>
      <c r="R41"/>
    </row>
    <row r="42" spans="1:18" x14ac:dyDescent="0.25">
      <c r="J42"/>
      <c r="K42"/>
      <c r="L42"/>
      <c r="M42"/>
      <c r="N42"/>
      <c r="O42"/>
      <c r="P42"/>
      <c r="Q42"/>
      <c r="R42"/>
    </row>
    <row r="43" spans="1:18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1:18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1:18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18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pans="1:18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1:18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1:17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pans="1:17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1:17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1:17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1:17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17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1:17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1:17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7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7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17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17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1:17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1:17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1:17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1:17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1:17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1:17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1:17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  <row r="68" spans="1:17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</row>
    <row r="69" spans="1:17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 spans="1:17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</row>
    <row r="71" spans="1:17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1:17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pans="1:17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4" spans="1:17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</row>
    <row r="75" spans="1:17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</row>
    <row r="76" spans="1:17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</row>
    <row r="77" spans="1:17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</row>
    <row r="78" spans="1:17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</row>
    <row r="79" spans="1:17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</row>
    <row r="80" spans="1:17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</row>
    <row r="81" spans="1:17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</row>
    <row r="82" spans="1:17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</row>
    <row r="83" spans="1:17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</row>
    <row r="84" spans="1:17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</row>
    <row r="85" spans="1:17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 spans="1:17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7" spans="1:17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</row>
    <row r="88" spans="1:17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</row>
    <row r="89" spans="1:17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</row>
    <row r="90" spans="1:17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</row>
    <row r="91" spans="1:17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</row>
    <row r="92" spans="1:17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</row>
    <row r="93" spans="1:17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</row>
    <row r="94" spans="1:17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</row>
    <row r="95" spans="1:17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</row>
    <row r="96" spans="1:17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</row>
    <row r="97" spans="1:17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  <row r="98" spans="1:17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</row>
    <row r="99" spans="1:17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</row>
    <row r="100" spans="1:17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</row>
    <row r="101" spans="1:17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pans="1:17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</row>
    <row r="103" spans="1:17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</row>
    <row r="104" spans="1:17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</row>
    <row r="105" spans="1:17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</row>
    <row r="106" spans="1:17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</row>
    <row r="107" spans="1:17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  <row r="108" spans="1:17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</row>
    <row r="109" spans="1:17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</row>
    <row r="110" spans="1:17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</row>
    <row r="111" spans="1:17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</row>
    <row r="112" spans="1:17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</row>
    <row r="113" spans="1:17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 spans="1:17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 spans="1:17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 spans="1:17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 spans="1:17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</row>
    <row r="118" spans="1:17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19" spans="1:17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  <row r="120" spans="1:17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</row>
    <row r="121" spans="1:17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</row>
    <row r="122" spans="1:17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</row>
    <row r="123" spans="1:17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</row>
    <row r="124" spans="1:17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</row>
    <row r="125" spans="1:17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</row>
    <row r="126" spans="1:17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</row>
    <row r="127" spans="1:17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</row>
    <row r="128" spans="1:17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</row>
    <row r="129" spans="1:17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</row>
    <row r="130" spans="1:17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</row>
    <row r="131" spans="1:17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</row>
    <row r="132" spans="1:17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</row>
    <row r="133" spans="1:17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</row>
    <row r="134" spans="1:17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</row>
    <row r="135" spans="1:17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</row>
    <row r="136" spans="1:17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</row>
    <row r="137" spans="1:17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</row>
    <row r="138" spans="1:17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</row>
    <row r="139" spans="1:17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</row>
    <row r="140" spans="1:17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</row>
    <row r="141" spans="1:17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</row>
    <row r="142" spans="1:17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</row>
    <row r="143" spans="1:17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</row>
    <row r="144" spans="1:17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</row>
    <row r="145" spans="1:17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</row>
    <row r="146" spans="1:17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</row>
    <row r="147" spans="1:17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</row>
    <row r="148" spans="1:17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</row>
    <row r="149" spans="1:17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</row>
    <row r="150" spans="1:17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</row>
    <row r="151" spans="1:17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</row>
    <row r="152" spans="1:17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</row>
    <row r="153" spans="1:17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</row>
    <row r="154" spans="1:17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</row>
    <row r="155" spans="1:17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</row>
    <row r="156" spans="1:17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</row>
    <row r="157" spans="1:17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</row>
    <row r="158" spans="1:17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</row>
    <row r="159" spans="1:17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</row>
    <row r="160" spans="1:17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</row>
    <row r="161" spans="1:17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</row>
    <row r="162" spans="1:17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</row>
    <row r="163" spans="1:17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</row>
    <row r="164" spans="1:17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</row>
    <row r="165" spans="1:17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</row>
    <row r="166" spans="1:17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</row>
    <row r="167" spans="1:17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</row>
    <row r="168" spans="1:17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</row>
    <row r="169" spans="1:17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</row>
    <row r="170" spans="1:17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</row>
    <row r="171" spans="1:17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</row>
    <row r="172" spans="1:17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</row>
    <row r="173" spans="1:17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</row>
    <row r="174" spans="1:17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</row>
    <row r="175" spans="1:17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</row>
    <row r="176" spans="1:17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</row>
    <row r="177" spans="1:17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</row>
    <row r="178" spans="1:17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</row>
    <row r="179" spans="1:17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</row>
    <row r="180" spans="1:17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</row>
    <row r="181" spans="1:17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</row>
    <row r="182" spans="1:17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</row>
    <row r="183" spans="1:17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</row>
    <row r="184" spans="1:17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</row>
    <row r="185" spans="1:17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</row>
    <row r="186" spans="1:17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</row>
    <row r="187" spans="1:17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</row>
    <row r="188" spans="1:17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</row>
    <row r="189" spans="1:17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</row>
    <row r="190" spans="1:17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</row>
    <row r="191" spans="1:17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</row>
    <row r="192" spans="1:17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</row>
    <row r="193" spans="1:17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</row>
    <row r="194" spans="1:17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</row>
    <row r="195" spans="1:17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</row>
    <row r="196" spans="1:17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</row>
    <row r="197" spans="1:17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</row>
    <row r="198" spans="1:17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</row>
    <row r="199" spans="1:17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</row>
    <row r="200" spans="1:17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</row>
    <row r="201" spans="1:17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</row>
    <row r="202" spans="1:17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</row>
    <row r="203" spans="1:17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</row>
    <row r="204" spans="1:17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</row>
    <row r="205" spans="1:17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</row>
    <row r="206" spans="1:17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</row>
    <row r="207" spans="1:17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</row>
    <row r="208" spans="1:17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</row>
    <row r="209" spans="1:17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</row>
    <row r="210" spans="1:17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</row>
    <row r="211" spans="1:17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</row>
    <row r="212" spans="1:17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</row>
    <row r="213" spans="1:17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</row>
    <row r="214" spans="1:17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</row>
    <row r="215" spans="1:17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</row>
    <row r="216" spans="1:17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</row>
    <row r="217" spans="1:17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</row>
    <row r="218" spans="1:17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</row>
    <row r="219" spans="1:17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</row>
    <row r="220" spans="1:17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</row>
    <row r="221" spans="1:17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</row>
    <row r="222" spans="1:17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</row>
    <row r="223" spans="1:17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</row>
    <row r="224" spans="1:17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</row>
    <row r="225" spans="1:17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</row>
    <row r="226" spans="1:17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</row>
    <row r="227" spans="1:17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</row>
    <row r="228" spans="1:17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</row>
    <row r="229" spans="1:17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</row>
    <row r="230" spans="1:17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</row>
    <row r="231" spans="1:17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</row>
    <row r="232" spans="1:17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</row>
    <row r="233" spans="1:17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</row>
    <row r="234" spans="1:17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</row>
    <row r="235" spans="1:17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</row>
    <row r="236" spans="1:17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</row>
    <row r="237" spans="1:17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</row>
    <row r="238" spans="1:17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</row>
    <row r="239" spans="1:17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</row>
    <row r="240" spans="1:17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</row>
    <row r="241" spans="1:17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</row>
    <row r="242" spans="1:17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</row>
    <row r="243" spans="1:17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</row>
    <row r="244" spans="1:17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</row>
    <row r="245" spans="1:17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</row>
    <row r="246" spans="1:17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</row>
    <row r="247" spans="1:17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</row>
    <row r="248" spans="1:17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</row>
    <row r="249" spans="1:17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</row>
    <row r="250" spans="1:17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</row>
    <row r="251" spans="1:17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</row>
    <row r="252" spans="1:17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</row>
    <row r="253" spans="1:17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</row>
    <row r="254" spans="1:17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</row>
    <row r="255" spans="1:17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</row>
    <row r="256" spans="1:17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</row>
    <row r="257" spans="1:17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</row>
    <row r="258" spans="1:17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</row>
    <row r="259" spans="1:17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</row>
    <row r="260" spans="1:17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</row>
    <row r="261" spans="1:17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</row>
    <row r="262" spans="1:17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</row>
    <row r="263" spans="1:17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</row>
    <row r="264" spans="1:17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</row>
    <row r="265" spans="1:17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</row>
    <row r="266" spans="1:17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</row>
    <row r="267" spans="1:17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</row>
    <row r="268" spans="1:17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</row>
    <row r="269" spans="1:17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</row>
    <row r="270" spans="1:17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</row>
    <row r="271" spans="1:17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</row>
    <row r="272" spans="1:17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</row>
    <row r="273" spans="1:17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</row>
    <row r="274" spans="1:17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</row>
    <row r="275" spans="1:17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</row>
    <row r="276" spans="1:17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</row>
    <row r="277" spans="1:17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</row>
    <row r="278" spans="1:17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</row>
    <row r="279" spans="1:17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</row>
    <row r="280" spans="1:17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</row>
    <row r="281" spans="1:17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</row>
    <row r="282" spans="1:17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</row>
    <row r="283" spans="1:17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</row>
    <row r="284" spans="1:17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</row>
    <row r="285" spans="1:17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</row>
    <row r="286" spans="1:17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</row>
    <row r="287" spans="1:17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</row>
    <row r="288" spans="1:17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</row>
    <row r="289" spans="1:17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</row>
    <row r="290" spans="1:17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</row>
    <row r="291" spans="1:17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</row>
    <row r="292" spans="1:17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</row>
    <row r="293" spans="1:17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</row>
    <row r="294" spans="1:17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</row>
    <row r="295" spans="1:17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</row>
    <row r="296" spans="1:17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</row>
    <row r="297" spans="1:17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</row>
    <row r="298" spans="1:17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</row>
    <row r="299" spans="1:17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</row>
    <row r="300" spans="1:17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</row>
    <row r="301" spans="1:17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</row>
    <row r="302" spans="1:17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</row>
    <row r="303" spans="1:17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</row>
    <row r="304" spans="1:17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</row>
    <row r="305" spans="1:17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</row>
    <row r="306" spans="1:17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</row>
    <row r="307" spans="1:17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</row>
    <row r="308" spans="1:17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</row>
    <row r="309" spans="1:17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</row>
    <row r="310" spans="1:17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</row>
    <row r="311" spans="1:17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</row>
    <row r="312" spans="1:17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</row>
    <row r="313" spans="1:17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</row>
    <row r="314" spans="1:17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</row>
    <row r="315" spans="1:17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</row>
    <row r="316" spans="1:17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</row>
    <row r="317" spans="1:17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</row>
    <row r="318" spans="1:17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</row>
    <row r="319" spans="1:17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</row>
    <row r="320" spans="1:17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</row>
    <row r="321" spans="1:17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</row>
    <row r="322" spans="1:17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</row>
    <row r="323" spans="1:17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</row>
    <row r="324" spans="1:17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</row>
    <row r="325" spans="1:17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</row>
    <row r="326" spans="1:17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</row>
    <row r="327" spans="1:17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</row>
    <row r="328" spans="1:17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</row>
    <row r="329" spans="1:17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</row>
    <row r="330" spans="1:17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</row>
    <row r="331" spans="1:17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</row>
    <row r="332" spans="1:17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</row>
    <row r="333" spans="1:17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</row>
    <row r="334" spans="1:17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</row>
    <row r="335" spans="1:17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</row>
    <row r="336" spans="1:17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</row>
    <row r="337" spans="1:17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</row>
    <row r="338" spans="1:17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</row>
    <row r="339" spans="1:17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</row>
    <row r="340" spans="1:17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</row>
    <row r="341" spans="1:17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</row>
    <row r="342" spans="1:17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</row>
    <row r="343" spans="1:17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</row>
    <row r="344" spans="1:17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</row>
    <row r="345" spans="1:17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</row>
    <row r="346" spans="1:17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</row>
    <row r="347" spans="1:17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</row>
    <row r="348" spans="1:17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</row>
    <row r="349" spans="1:17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</row>
    <row r="350" spans="1:17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</row>
    <row r="351" spans="1:17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</row>
    <row r="352" spans="1:17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</row>
    <row r="353" spans="1:17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</row>
    <row r="354" spans="1:17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</row>
    <row r="355" spans="1:17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</row>
    <row r="356" spans="1:17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</row>
    <row r="357" spans="1:17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</row>
    <row r="358" spans="1:17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</row>
    <row r="359" spans="1:17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</row>
    <row r="360" spans="1:17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</row>
    <row r="361" spans="1:17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</row>
    <row r="362" spans="1:17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</row>
    <row r="363" spans="1:17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</row>
    <row r="364" spans="1:17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</row>
    <row r="365" spans="1:17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</row>
    <row r="366" spans="1:17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</row>
    <row r="367" spans="1:17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</row>
    <row r="368" spans="1:17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</row>
    <row r="369" spans="1:17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</row>
    <row r="370" spans="1:17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</row>
    <row r="371" spans="1:17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</row>
    <row r="372" spans="1:17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</row>
    <row r="373" spans="1:17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</row>
    <row r="374" spans="1:17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</row>
    <row r="375" spans="1:17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</row>
    <row r="376" spans="1:17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</row>
    <row r="377" spans="1:17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</row>
    <row r="378" spans="1:17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</row>
    <row r="379" spans="1:17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</row>
    <row r="380" spans="1:17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</row>
    <row r="381" spans="1:17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</row>
    <row r="382" spans="1:17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</row>
    <row r="383" spans="1:17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</row>
    <row r="384" spans="1:17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</row>
    <row r="385" spans="1:17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</row>
    <row r="386" spans="1:17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</row>
    <row r="387" spans="1:17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</row>
    <row r="388" spans="1:17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</row>
    <row r="389" spans="1:17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</row>
    <row r="390" spans="1:17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</row>
    <row r="391" spans="1:17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</row>
    <row r="392" spans="1:17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</row>
    <row r="393" spans="1:17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</row>
    <row r="394" spans="1:17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</row>
    <row r="395" spans="1:17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</row>
    <row r="396" spans="1:17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</row>
    <row r="397" spans="1:17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</row>
    <row r="398" spans="1:17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</row>
    <row r="399" spans="1:17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</row>
    <row r="400" spans="1:17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</row>
    <row r="401" spans="1:17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</row>
    <row r="402" spans="1:17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</row>
    <row r="403" spans="1:17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</row>
    <row r="404" spans="1:17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</row>
    <row r="405" spans="1:17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</row>
    <row r="406" spans="1:17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</row>
    <row r="407" spans="1:17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</row>
    <row r="408" spans="1:17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</row>
    <row r="409" spans="1:17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</row>
    <row r="410" spans="1:17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</row>
    <row r="411" spans="1:17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</row>
    <row r="412" spans="1:17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</row>
    <row r="413" spans="1:17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</row>
    <row r="414" spans="1:17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</row>
    <row r="415" spans="1:17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</row>
    <row r="416" spans="1:17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</row>
    <row r="417" spans="1:17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</row>
    <row r="418" spans="1:17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</row>
    <row r="419" spans="1:17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</row>
    <row r="420" spans="1:17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</row>
    <row r="421" spans="1:17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</row>
    <row r="422" spans="1:17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</row>
    <row r="423" spans="1:17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</row>
    <row r="424" spans="1:17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</row>
    <row r="425" spans="1:17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</row>
    <row r="426" spans="1:17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</row>
    <row r="427" spans="1:17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</row>
    <row r="428" spans="1:17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</row>
    <row r="429" spans="1:17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</row>
    <row r="430" spans="1:17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</row>
    <row r="431" spans="1:17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</row>
    <row r="432" spans="1:17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</row>
    <row r="433" spans="1:17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</row>
    <row r="434" spans="1:17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</row>
    <row r="435" spans="1:17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</row>
    <row r="436" spans="1:17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</row>
    <row r="437" spans="1:17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</row>
    <row r="438" spans="1:17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</row>
    <row r="439" spans="1:17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</row>
    <row r="440" spans="1:17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</row>
    <row r="441" spans="1:17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</row>
    <row r="442" spans="1:17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</row>
    <row r="443" spans="1:17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</row>
    <row r="444" spans="1:17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</row>
    <row r="445" spans="1:17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</row>
    <row r="446" spans="1:17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</row>
    <row r="447" spans="1:17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</row>
    <row r="448" spans="1:17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</row>
    <row r="449" spans="1:17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</row>
    <row r="450" spans="1:17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</row>
    <row r="451" spans="1:17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</row>
    <row r="452" spans="1:17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</row>
    <row r="453" spans="1:17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</row>
    <row r="454" spans="1:17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</row>
    <row r="455" spans="1:17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</row>
    <row r="456" spans="1:17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</row>
    <row r="457" spans="1:17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</row>
    <row r="458" spans="1:17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</row>
    <row r="459" spans="1:17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</row>
    <row r="460" spans="1:17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</row>
    <row r="461" spans="1:17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</row>
    <row r="462" spans="1:17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</row>
    <row r="463" spans="1:17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</row>
    <row r="464" spans="1:17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</row>
    <row r="465" spans="1:17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</row>
    <row r="466" spans="1:17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</row>
    <row r="467" spans="1:17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</row>
    <row r="468" spans="1:17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</row>
    <row r="469" spans="1:17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</row>
    <row r="470" spans="1:17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</row>
    <row r="471" spans="1:17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</row>
    <row r="472" spans="1:17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</row>
    <row r="473" spans="1:17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</row>
    <row r="474" spans="1:17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</row>
    <row r="475" spans="1:17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</row>
    <row r="476" spans="1:17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</row>
    <row r="477" spans="1:17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</row>
    <row r="478" spans="1:17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</row>
    <row r="479" spans="1:17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</row>
    <row r="480" spans="1:17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</row>
    <row r="481" spans="1:17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</row>
    <row r="482" spans="1:17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</row>
    <row r="483" spans="1:17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</row>
    <row r="484" spans="1:17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</row>
    <row r="485" spans="1:17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</row>
    <row r="486" spans="1:17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</row>
    <row r="487" spans="1:17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</row>
    <row r="488" spans="1:17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</row>
    <row r="489" spans="1:17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</row>
    <row r="490" spans="1:17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</row>
    <row r="491" spans="1:17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</row>
    <row r="492" spans="1:17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</row>
    <row r="493" spans="1:17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</row>
    <row r="494" spans="1:17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</row>
    <row r="495" spans="1:17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</row>
    <row r="496" spans="1:17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</row>
    <row r="497" spans="1:17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</row>
    <row r="498" spans="1:17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</row>
    <row r="499" spans="1:17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</row>
    <row r="500" spans="1:17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</row>
    <row r="501" spans="1:17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</row>
    <row r="502" spans="1:17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</row>
    <row r="503" spans="1:17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</row>
    <row r="504" spans="1:17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</row>
    <row r="505" spans="1:17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</row>
    <row r="506" spans="1:17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</row>
    <row r="507" spans="1:17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</row>
    <row r="508" spans="1:17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</row>
    <row r="509" spans="1:17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</row>
    <row r="510" spans="1:17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</row>
    <row r="511" spans="1:17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</row>
    <row r="512" spans="1:17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</row>
    <row r="513" spans="1:17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</row>
    <row r="514" spans="1:17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</row>
    <row r="515" spans="1:17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</row>
    <row r="516" spans="1:17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</row>
    <row r="517" spans="1:17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</row>
    <row r="518" spans="1:17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</row>
    <row r="519" spans="1:17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</row>
    <row r="520" spans="1:17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</row>
    <row r="521" spans="1:17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</row>
    <row r="522" spans="1:17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</row>
    <row r="523" spans="1:17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</row>
    <row r="524" spans="1:17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</row>
    <row r="525" spans="1:17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</row>
    <row r="526" spans="1:17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</row>
    <row r="527" spans="1:17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</row>
    <row r="528" spans="1:17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</row>
    <row r="529" spans="1:17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</row>
    <row r="530" spans="1:17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</row>
    <row r="531" spans="1:17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</row>
    <row r="532" spans="1:17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</row>
    <row r="533" spans="1:17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</row>
    <row r="534" spans="1:17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</row>
    <row r="535" spans="1:17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</row>
    <row r="536" spans="1:17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</row>
    <row r="537" spans="1:17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</row>
    <row r="538" spans="1:17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</row>
    <row r="539" spans="1:17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</row>
    <row r="540" spans="1:17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</row>
    <row r="541" spans="1:17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</row>
    <row r="542" spans="1:17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</row>
    <row r="543" spans="1:17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</row>
    <row r="544" spans="1:17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</row>
    <row r="545" spans="1:17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</row>
    <row r="546" spans="1:17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</row>
    <row r="547" spans="1:17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</row>
    <row r="548" spans="1:17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</row>
    <row r="549" spans="1:17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</row>
    <row r="550" spans="1:17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</row>
    <row r="551" spans="1:17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</row>
    <row r="552" spans="1:17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</row>
    <row r="553" spans="1:17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</row>
    <row r="554" spans="1:17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</row>
    <row r="555" spans="1:17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</row>
    <row r="556" spans="1:17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</row>
    <row r="557" spans="1:17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</row>
    <row r="558" spans="1:17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</row>
    <row r="559" spans="1:17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</row>
    <row r="560" spans="1:17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</row>
    <row r="561" spans="1:17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</row>
    <row r="562" spans="1:17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</row>
    <row r="563" spans="1:17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</row>
    <row r="564" spans="1:17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</row>
    <row r="565" spans="1:17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</row>
    <row r="566" spans="1:17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</row>
    <row r="567" spans="1:17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</row>
    <row r="568" spans="1:17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</row>
    <row r="569" spans="1:17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</row>
    <row r="570" spans="1:17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</row>
    <row r="571" spans="1:17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</row>
    <row r="572" spans="1:17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</row>
    <row r="573" spans="1:17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</row>
    <row r="574" spans="1:17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</row>
    <row r="575" spans="1:17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</row>
    <row r="576" spans="1:17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</row>
    <row r="577" spans="1:17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</row>
    <row r="578" spans="1:17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</row>
    <row r="579" spans="1:17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</row>
    <row r="580" spans="1:17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</row>
    <row r="581" spans="1:17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</row>
    <row r="582" spans="1:17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</row>
    <row r="583" spans="1:17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</row>
    <row r="584" spans="1:17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</row>
    <row r="585" spans="1:17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</row>
    <row r="586" spans="1:17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</row>
    <row r="587" spans="1:17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</row>
    <row r="588" spans="1:17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</row>
    <row r="589" spans="1:17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</row>
    <row r="590" spans="1:17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</row>
    <row r="591" spans="1:17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</row>
    <row r="592" spans="1:17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</row>
    <row r="593" spans="1:17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</row>
    <row r="594" spans="1:17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</row>
    <row r="595" spans="1:17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</row>
    <row r="596" spans="1:17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</row>
    <row r="597" spans="1:17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</row>
    <row r="598" spans="1:17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</row>
    <row r="599" spans="1:17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</row>
    <row r="600" spans="1:17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</row>
    <row r="601" spans="1:17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</row>
    <row r="602" spans="1:17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</row>
    <row r="603" spans="1:17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</row>
    <row r="604" spans="1:17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</row>
    <row r="605" spans="1:17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</row>
    <row r="606" spans="1:17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</row>
    <row r="607" spans="1:17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</row>
    <row r="608" spans="1:17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</row>
    <row r="609" spans="1:17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</row>
    <row r="610" spans="1:17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</row>
    <row r="611" spans="1:17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</row>
    <row r="612" spans="1:17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</row>
    <row r="613" spans="1:17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</row>
    <row r="614" spans="1:17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</row>
    <row r="615" spans="1:17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</row>
    <row r="616" spans="1:17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</row>
    <row r="617" spans="1:17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</row>
    <row r="618" spans="1:17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</row>
    <row r="619" spans="1:17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</row>
    <row r="620" spans="1:17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</row>
    <row r="621" spans="1:17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</row>
    <row r="622" spans="1:17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</row>
    <row r="623" spans="1:17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</row>
    <row r="624" spans="1:17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</row>
    <row r="625" spans="1:17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</row>
    <row r="626" spans="1:17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</row>
    <row r="627" spans="1:17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</row>
    <row r="628" spans="1:17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</row>
    <row r="629" spans="1:17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</row>
    <row r="630" spans="1:17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</row>
    <row r="631" spans="1:17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</row>
    <row r="632" spans="1:17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</row>
    <row r="633" spans="1:17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</row>
    <row r="634" spans="1:17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</row>
    <row r="635" spans="1:17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</row>
    <row r="636" spans="1:17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</row>
    <row r="637" spans="1:17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</row>
    <row r="638" spans="1:17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</row>
    <row r="639" spans="1:17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</row>
    <row r="640" spans="1:17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</row>
    <row r="641" spans="1:17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</row>
    <row r="642" spans="1:17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</row>
    <row r="643" spans="1:17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</row>
    <row r="644" spans="1:17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</row>
    <row r="645" spans="1:17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</row>
    <row r="646" spans="1:17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</row>
    <row r="647" spans="1:17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</row>
    <row r="648" spans="1:17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</row>
    <row r="649" spans="1:17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</row>
    <row r="650" spans="1:17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</row>
    <row r="651" spans="1:17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</row>
    <row r="652" spans="1:17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</row>
    <row r="653" spans="1:17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</row>
    <row r="654" spans="1:17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</row>
    <row r="655" spans="1:17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</row>
    <row r="656" spans="1:17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</row>
    <row r="657" spans="1:17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</row>
    <row r="658" spans="1:17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</row>
    <row r="659" spans="1:17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</row>
    <row r="660" spans="1:17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</row>
    <row r="661" spans="1:17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</row>
    <row r="662" spans="1:17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</row>
    <row r="663" spans="1:17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</row>
    <row r="664" spans="1:17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</row>
    <row r="665" spans="1:17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</row>
    <row r="666" spans="1:17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</row>
    <row r="667" spans="1:17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</row>
    <row r="668" spans="1:17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</row>
    <row r="669" spans="1:17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</row>
    <row r="670" spans="1:17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</row>
    <row r="671" spans="1:17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</row>
    <row r="672" spans="1:17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</row>
    <row r="673" spans="1:17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</row>
    <row r="674" spans="1:17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</row>
    <row r="675" spans="1:17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</row>
    <row r="676" spans="1:17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</row>
    <row r="677" spans="1:17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</row>
    <row r="678" spans="1:17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</row>
    <row r="679" spans="1:17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</row>
    <row r="680" spans="1:17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</row>
    <row r="681" spans="1:17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</row>
    <row r="682" spans="1:17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</row>
    <row r="683" spans="1:17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</row>
    <row r="684" spans="1:17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</row>
    <row r="685" spans="1:17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</row>
    <row r="686" spans="1:17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</row>
    <row r="687" spans="1:17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</row>
    <row r="688" spans="1:17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</row>
    <row r="689" spans="1:17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</row>
    <row r="690" spans="1:17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</row>
    <row r="691" spans="1:17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</row>
    <row r="692" spans="1:17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</row>
    <row r="693" spans="1:17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</row>
    <row r="694" spans="1:17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</row>
    <row r="695" spans="1:17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</row>
    <row r="696" spans="1:17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</row>
    <row r="697" spans="1:17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</row>
    <row r="698" spans="1:17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</row>
    <row r="699" spans="1:17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</row>
    <row r="700" spans="1:17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</row>
    <row r="701" spans="1:17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</row>
    <row r="702" spans="1:17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</row>
    <row r="703" spans="1:17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</row>
    <row r="704" spans="1:17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</row>
    <row r="705" spans="1:17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</row>
    <row r="706" spans="1:17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</row>
    <row r="707" spans="1:17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</row>
    <row r="708" spans="1:17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</row>
    <row r="709" spans="1:17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</row>
    <row r="710" spans="1:17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</row>
    <row r="711" spans="1:17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</row>
    <row r="712" spans="1:17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</row>
    <row r="713" spans="1:17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</row>
    <row r="714" spans="1:17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</row>
    <row r="715" spans="1:17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</row>
    <row r="716" spans="1:17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</row>
    <row r="717" spans="1:17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</row>
    <row r="718" spans="1:17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</row>
    <row r="719" spans="1:17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</row>
    <row r="720" spans="1:17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</row>
    <row r="721" spans="1:17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</row>
    <row r="722" spans="1:17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</row>
    <row r="723" spans="1:17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</row>
    <row r="724" spans="1:17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</row>
    <row r="725" spans="1:17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</row>
    <row r="726" spans="1:17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</row>
    <row r="727" spans="1:17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</row>
    <row r="728" spans="1:17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</row>
    <row r="729" spans="1:17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</row>
    <row r="730" spans="1:17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</row>
    <row r="731" spans="1:17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</row>
    <row r="732" spans="1:17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</row>
    <row r="733" spans="1:17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</row>
    <row r="734" spans="1:17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</row>
    <row r="735" spans="1:17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</row>
    <row r="736" spans="1:17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</row>
    <row r="737" spans="1:17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</row>
    <row r="738" spans="1:17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</row>
    <row r="739" spans="1:17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</row>
    <row r="740" spans="1:17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</row>
    <row r="741" spans="1:17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</row>
    <row r="742" spans="1:17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</row>
    <row r="743" spans="1:17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</row>
    <row r="744" spans="1:17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</row>
    <row r="745" spans="1:17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</row>
    <row r="746" spans="1:17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</row>
    <row r="747" spans="1:17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</row>
    <row r="748" spans="1:17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</row>
    <row r="749" spans="1:17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</row>
    <row r="750" spans="1:17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</row>
    <row r="751" spans="1:17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</row>
    <row r="752" spans="1:17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</row>
    <row r="753" spans="1:17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</row>
    <row r="754" spans="1:17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</row>
    <row r="755" spans="1:17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</row>
    <row r="756" spans="1:17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</row>
    <row r="757" spans="1:17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</row>
    <row r="758" spans="1:17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</row>
    <row r="759" spans="1:17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</row>
    <row r="760" spans="1:17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</row>
    <row r="761" spans="1:17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</row>
    <row r="762" spans="1:17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</row>
    <row r="763" spans="1:17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</row>
    <row r="764" spans="1:17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</row>
    <row r="765" spans="1:17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</row>
    <row r="766" spans="1:17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</row>
    <row r="767" spans="1:17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</row>
    <row r="768" spans="1:17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</row>
    <row r="769" spans="1:17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</row>
    <row r="770" spans="1:17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</row>
    <row r="771" spans="1:17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</row>
    <row r="772" spans="1:17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</row>
    <row r="773" spans="1:17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</row>
    <row r="774" spans="1:17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</row>
    <row r="775" spans="1:17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</row>
    <row r="776" spans="1:17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</row>
    <row r="777" spans="1:17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</row>
    <row r="778" spans="1:17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</row>
    <row r="779" spans="1:17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</row>
    <row r="780" spans="1:17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</row>
    <row r="781" spans="1:17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</row>
    <row r="782" spans="1:17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</row>
    <row r="783" spans="1:17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</row>
    <row r="784" spans="1:17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</row>
    <row r="785" spans="1:17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</row>
    <row r="786" spans="1:17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</row>
    <row r="787" spans="1:17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</row>
    <row r="788" spans="1:17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</row>
    <row r="789" spans="1:17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</row>
    <row r="790" spans="1:17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</row>
    <row r="791" spans="1:17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</row>
    <row r="792" spans="1:17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</row>
    <row r="793" spans="1:17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</row>
    <row r="794" spans="1:17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</row>
    <row r="795" spans="1:17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</row>
    <row r="796" spans="1:17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</row>
    <row r="797" spans="1:17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</row>
    <row r="798" spans="1:17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</row>
    <row r="799" spans="1:17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</row>
    <row r="800" spans="1:17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</row>
    <row r="801" spans="1:17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</row>
    <row r="802" spans="1:17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</row>
    <row r="803" spans="1:17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</row>
    <row r="804" spans="1:17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</row>
    <row r="805" spans="1:17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</row>
    <row r="806" spans="1:17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</row>
    <row r="807" spans="1:17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</row>
    <row r="808" spans="1:17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</row>
    <row r="809" spans="1:17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</row>
    <row r="810" spans="1:17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</row>
    <row r="811" spans="1:17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</row>
    <row r="812" spans="1:17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</row>
    <row r="813" spans="1:17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</row>
    <row r="814" spans="1:17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</row>
    <row r="815" spans="1:17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</row>
    <row r="816" spans="1:17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</row>
    <row r="817" spans="1:17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</row>
    <row r="818" spans="1:17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</row>
    <row r="819" spans="1:17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</row>
    <row r="820" spans="1:17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</row>
    <row r="821" spans="1:17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</row>
    <row r="822" spans="1:17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</row>
    <row r="823" spans="1:17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</row>
    <row r="824" spans="1:17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</row>
    <row r="825" spans="1:17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</row>
    <row r="826" spans="1:17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</row>
    <row r="827" spans="1:17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</row>
    <row r="828" spans="1:17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</row>
    <row r="829" spans="1:17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</row>
    <row r="830" spans="1:17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</row>
    <row r="831" spans="1:17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</row>
    <row r="832" spans="1:17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</row>
    <row r="833" spans="1:17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</row>
    <row r="834" spans="1:17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</row>
    <row r="835" spans="1:17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</row>
    <row r="836" spans="1:17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</row>
    <row r="837" spans="1:17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</row>
    <row r="838" spans="1:17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</row>
    <row r="839" spans="1:17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</row>
    <row r="840" spans="1:17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</row>
    <row r="841" spans="1:17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</row>
    <row r="842" spans="1:17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</row>
    <row r="843" spans="1:17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</row>
    <row r="844" spans="1:17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</row>
    <row r="845" spans="1:17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</row>
    <row r="846" spans="1:17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</row>
    <row r="847" spans="1:17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</row>
    <row r="848" spans="1:17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</row>
    <row r="849" spans="1:17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</row>
    <row r="850" spans="1:17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</row>
    <row r="851" spans="1:17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</row>
    <row r="852" spans="1:17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</row>
    <row r="853" spans="1:17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</row>
    <row r="854" spans="1:17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</row>
    <row r="855" spans="1:17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</row>
    <row r="856" spans="1:17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</row>
    <row r="857" spans="1:17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</row>
    <row r="858" spans="1:17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</row>
    <row r="859" spans="1:17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</row>
    <row r="860" spans="1:17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</row>
    <row r="861" spans="1:17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</row>
    <row r="862" spans="1:17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</row>
    <row r="863" spans="1:17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</row>
    <row r="864" spans="1:17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</row>
    <row r="865" spans="1:17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</row>
    <row r="866" spans="1:17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</row>
    <row r="867" spans="1:17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</row>
    <row r="868" spans="1:17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</row>
    <row r="869" spans="1:17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</row>
    <row r="870" spans="1:17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</row>
    <row r="871" spans="1:17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</row>
    <row r="872" spans="1:17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</row>
    <row r="873" spans="1:17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</row>
    <row r="874" spans="1:17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</row>
    <row r="875" spans="1:17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</row>
    <row r="876" spans="1:17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</row>
    <row r="877" spans="1:17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</row>
    <row r="878" spans="1:17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</row>
    <row r="879" spans="1:17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</row>
    <row r="880" spans="1:17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</row>
    <row r="881" spans="1:17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</row>
    <row r="882" spans="1:17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</row>
    <row r="883" spans="1:17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</row>
    <row r="884" spans="1:17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</row>
    <row r="885" spans="1:17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</row>
    <row r="886" spans="1:17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</row>
    <row r="887" spans="1:17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</row>
    <row r="888" spans="1:17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</row>
    <row r="889" spans="1:17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</row>
    <row r="890" spans="1:17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</row>
    <row r="891" spans="1:17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</row>
    <row r="892" spans="1:17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</row>
    <row r="893" spans="1:17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</row>
    <row r="894" spans="1:17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</row>
    <row r="895" spans="1:17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</row>
    <row r="896" spans="1:17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</row>
    <row r="897" spans="1:17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</row>
    <row r="898" spans="1:17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</row>
    <row r="899" spans="1:17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</row>
    <row r="900" spans="1:17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</row>
    <row r="901" spans="1:17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</row>
    <row r="902" spans="1:17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</row>
    <row r="903" spans="1:17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</row>
    <row r="904" spans="1:17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</row>
    <row r="905" spans="1:17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</row>
    <row r="906" spans="1:17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</row>
    <row r="907" spans="1:17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</row>
    <row r="908" spans="1:17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</row>
    <row r="909" spans="1:17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</row>
    <row r="910" spans="1:17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</row>
    <row r="911" spans="1:17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</row>
    <row r="912" spans="1:17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</row>
    <row r="913" spans="1:17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</row>
    <row r="914" spans="1:17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</row>
    <row r="915" spans="1:17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</row>
    <row r="916" spans="1:17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</row>
    <row r="917" spans="1:17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</row>
    <row r="918" spans="1:17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</row>
    <row r="919" spans="1:17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</row>
    <row r="920" spans="1:17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</row>
    <row r="921" spans="1:17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</row>
    <row r="922" spans="1:17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</row>
    <row r="923" spans="1:17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</row>
    <row r="924" spans="1:17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</row>
    <row r="925" spans="1:17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</row>
    <row r="926" spans="1:17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</row>
    <row r="927" spans="1:17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</row>
    <row r="928" spans="1:17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</row>
    <row r="929" spans="1:17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</row>
    <row r="930" spans="1:17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</row>
    <row r="931" spans="1:17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</row>
    <row r="932" spans="1:17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</row>
    <row r="933" spans="1:17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</row>
    <row r="934" spans="1:17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</row>
    <row r="935" spans="1:17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</row>
    <row r="936" spans="1:17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</row>
    <row r="937" spans="1:17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</row>
    <row r="938" spans="1:17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</row>
    <row r="939" spans="1:17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</row>
    <row r="940" spans="1:17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</row>
    <row r="941" spans="1:17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</row>
    <row r="942" spans="1:17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</row>
    <row r="943" spans="1:17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</row>
    <row r="944" spans="1:17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</row>
    <row r="945" spans="1:17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</row>
    <row r="946" spans="1:17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</row>
    <row r="947" spans="1:17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</row>
    <row r="948" spans="1:17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</row>
    <row r="949" spans="1:17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</row>
    <row r="950" spans="1:17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</row>
    <row r="951" spans="1:17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</row>
    <row r="952" spans="1:17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</row>
    <row r="953" spans="1:17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</row>
    <row r="954" spans="1:17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</row>
    <row r="955" spans="1:17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</row>
    <row r="956" spans="1:17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</row>
    <row r="957" spans="1:17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</row>
    <row r="958" spans="1:17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</row>
    <row r="959" spans="1:17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</row>
    <row r="960" spans="1:17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</row>
    <row r="961" spans="1:17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</row>
    <row r="962" spans="1:17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</row>
    <row r="963" spans="1:17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</row>
    <row r="964" spans="1:17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</row>
    <row r="965" spans="1:17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</row>
    <row r="966" spans="1:17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</row>
    <row r="967" spans="1:17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</row>
    <row r="968" spans="1:17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</row>
    <row r="969" spans="1:17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</row>
    <row r="970" spans="1:17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</row>
    <row r="971" spans="1:17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</row>
    <row r="972" spans="1:17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</row>
    <row r="973" spans="1:17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</row>
    <row r="974" spans="1:17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</row>
    <row r="975" spans="1:17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</row>
    <row r="976" spans="1:17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</row>
    <row r="977" spans="1:17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</row>
    <row r="978" spans="1:17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</row>
    <row r="979" spans="1:17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</row>
    <row r="980" spans="1:17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</row>
    <row r="981" spans="1:17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</row>
    <row r="982" spans="1:17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</row>
    <row r="983" spans="1:17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</row>
    <row r="984" spans="1:17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</row>
    <row r="985" spans="1:17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</row>
    <row r="986" spans="1:17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</row>
    <row r="987" spans="1:17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</row>
    <row r="988" spans="1:17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</row>
    <row r="989" spans="1:17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</row>
    <row r="990" spans="1:17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</row>
    <row r="991" spans="1:17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</row>
    <row r="992" spans="1:17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</row>
    <row r="993" spans="1:17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</row>
    <row r="994" spans="1:17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</row>
    <row r="995" spans="1:17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</row>
    <row r="996" spans="1:17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</row>
    <row r="997" spans="1:17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</row>
    <row r="998" spans="1:17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</row>
    <row r="999" spans="1:17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</row>
    <row r="1000" spans="1:17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</row>
    <row r="1001" spans="1:17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</row>
    <row r="1002" spans="1:17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</row>
    <row r="1003" spans="1:17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</row>
    <row r="1004" spans="1:17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</row>
    <row r="1005" spans="1:17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</row>
    <row r="1006" spans="1:17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</row>
    <row r="1007" spans="1:17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</row>
    <row r="1008" spans="1:17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</row>
    <row r="1009" spans="1:17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</row>
    <row r="1010" spans="1:17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</row>
    <row r="1011" spans="1:17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</row>
    <row r="1012" spans="1:17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</row>
    <row r="1013" spans="1:17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</row>
    <row r="1014" spans="1:17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</row>
    <row r="1015" spans="1:17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</row>
    <row r="1016" spans="1:17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</row>
    <row r="1017" spans="1:17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</row>
    <row r="1018" spans="1:17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</row>
    <row r="1019" spans="1:17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</row>
    <row r="1020" spans="1:17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</row>
    <row r="1021" spans="1:17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</row>
    <row r="1022" spans="1:17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</row>
    <row r="1023" spans="1:17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</row>
    <row r="1024" spans="1:17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</row>
    <row r="1025" spans="1:17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</row>
    <row r="1026" spans="1:17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</row>
    <row r="1027" spans="1:17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</row>
    <row r="1028" spans="1:17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</row>
    <row r="1029" spans="1:17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</row>
    <row r="1030" spans="1:17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</row>
    <row r="1031" spans="1:17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</row>
    <row r="1032" spans="1:17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</row>
    <row r="1033" spans="1:17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</row>
    <row r="1034" spans="1:17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</row>
    <row r="1035" spans="1:17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</row>
    <row r="1036" spans="1:17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</row>
    <row r="1037" spans="1:17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</row>
    <row r="1038" spans="1:17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</row>
    <row r="1039" spans="1:17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</row>
    <row r="1040" spans="1:17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</row>
    <row r="1041" spans="1:17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</row>
    <row r="1042" spans="1:17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</row>
    <row r="1043" spans="1:17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</row>
    <row r="1044" spans="1:17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</row>
    <row r="1045" spans="1:17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</row>
    <row r="1046" spans="1:17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</row>
    <row r="1047" spans="1:17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</row>
    <row r="1048" spans="1:17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</row>
    <row r="1049" spans="1:17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</row>
    <row r="1050" spans="1:17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</row>
    <row r="1051" spans="1:17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</row>
    <row r="1052" spans="1:17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</row>
    <row r="1053" spans="1:17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</row>
    <row r="1054" spans="1:17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</row>
    <row r="1055" spans="1:17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</row>
    <row r="1056" spans="1:17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</row>
    <row r="1057" spans="1:17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</row>
    <row r="1058" spans="1:17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</row>
    <row r="1059" spans="1:17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</row>
    <row r="1060" spans="1:17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</row>
    <row r="1061" spans="1:17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</row>
    <row r="1062" spans="1:17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</row>
    <row r="1063" spans="1:17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</row>
    <row r="1064" spans="1:17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</row>
    <row r="1065" spans="1:17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</row>
    <row r="1066" spans="1:17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</row>
    <row r="1067" spans="1:17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</row>
    <row r="1068" spans="1:17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</row>
    <row r="1069" spans="1:17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</row>
    <row r="1070" spans="1:17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</row>
    <row r="1071" spans="1:17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</row>
    <row r="1072" spans="1:17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</row>
    <row r="1073" spans="1:17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</row>
    <row r="1074" spans="1:17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</row>
    <row r="1075" spans="1:17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</row>
    <row r="1076" spans="1:17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</row>
    <row r="1077" spans="1:17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</row>
    <row r="1078" spans="1:17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</row>
    <row r="1079" spans="1:17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</row>
    <row r="1080" spans="1:17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</row>
    <row r="1081" spans="1:17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</row>
    <row r="1082" spans="1:17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</row>
    <row r="1083" spans="1:17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</row>
    <row r="1084" spans="1:17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</row>
    <row r="1085" spans="1:17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</row>
    <row r="1086" spans="1:17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</row>
    <row r="1087" spans="1:17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</row>
    <row r="1088" spans="1:17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</row>
    <row r="1089" spans="1:17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</row>
    <row r="1090" spans="1:17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</row>
    <row r="1091" spans="1:17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</row>
    <row r="1092" spans="1:17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</row>
    <row r="1093" spans="1:17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</row>
    <row r="1094" spans="1:17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</row>
    <row r="1095" spans="1:17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</row>
    <row r="1096" spans="1:17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</row>
    <row r="1097" spans="1:17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</row>
    <row r="1098" spans="1:17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</row>
    <row r="1099" spans="1:17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</row>
    <row r="1100" spans="1:17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</row>
    <row r="1101" spans="1:17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</row>
    <row r="1102" spans="1:17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</row>
    <row r="1103" spans="1:17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</row>
    <row r="1104" spans="1:17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</row>
    <row r="1105" spans="1:17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</row>
    <row r="1106" spans="1:17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</row>
    <row r="1107" spans="1:17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</row>
    <row r="1108" spans="1:17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</row>
    <row r="1109" spans="1:17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</row>
    <row r="1110" spans="1:17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</row>
    <row r="1111" spans="1:17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</row>
    <row r="1112" spans="1:17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</row>
    <row r="1113" spans="1:17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</row>
    <row r="1114" spans="1:17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</row>
    <row r="1115" spans="1:17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</row>
    <row r="1116" spans="1:17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</row>
    <row r="1117" spans="1:17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</row>
    <row r="1118" spans="1:17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</row>
    <row r="1119" spans="1:17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</row>
    <row r="1120" spans="1:17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</row>
    <row r="1121" spans="1:17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</row>
    <row r="1122" spans="1:17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</row>
    <row r="1123" spans="1:17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</row>
    <row r="1124" spans="1:17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</row>
    <row r="1125" spans="1:17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</row>
    <row r="1126" spans="1:17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</row>
    <row r="1127" spans="1:17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</row>
    <row r="1128" spans="1:17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</row>
    <row r="1129" spans="1:17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</row>
    <row r="1130" spans="1:17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</row>
    <row r="1131" spans="1:17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</row>
    <row r="1132" spans="1:17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</row>
    <row r="1133" spans="1:17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</row>
    <row r="1134" spans="1:17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</row>
    <row r="1135" spans="1:17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</row>
    <row r="1136" spans="1:17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</row>
    <row r="1137" spans="1:17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</row>
    <row r="1138" spans="1:17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</row>
    <row r="1139" spans="1:17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</row>
    <row r="1140" spans="1:17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</row>
    <row r="1141" spans="1:17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</row>
    <row r="1142" spans="1:17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</row>
    <row r="1143" spans="1:17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</row>
    <row r="1144" spans="1:17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</row>
    <row r="1145" spans="1:17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</row>
    <row r="1146" spans="1:17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</row>
    <row r="1147" spans="1:17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</row>
    <row r="1148" spans="1:17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</row>
    <row r="1149" spans="1:17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</row>
    <row r="1150" spans="1:17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</row>
    <row r="1151" spans="1:17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</row>
    <row r="1152" spans="1:17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</row>
    <row r="1153" spans="1:17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</row>
    <row r="1154" spans="1:17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</row>
    <row r="1155" spans="1:17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</row>
    <row r="1156" spans="1:17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</row>
    <row r="1157" spans="1:17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</row>
    <row r="1158" spans="1:17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</row>
    <row r="1159" spans="1:17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</row>
    <row r="1160" spans="1:17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</row>
    <row r="1161" spans="1:17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</row>
    <row r="1162" spans="1:17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</row>
    <row r="1163" spans="1:17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</row>
    <row r="1164" spans="1:17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</row>
    <row r="1165" spans="1:17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</row>
    <row r="1166" spans="1:17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</row>
    <row r="1167" spans="1:17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</row>
    <row r="1168" spans="1:17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</row>
    <row r="1169" spans="1:17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</row>
    <row r="1170" spans="1:17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</row>
    <row r="1171" spans="1:17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</row>
    <row r="1172" spans="1:17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</row>
    <row r="1173" spans="1:17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</row>
    <row r="1174" spans="1:17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</row>
    <row r="1175" spans="1:17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</row>
    <row r="1176" spans="1:17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</row>
    <row r="1177" spans="1:17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</row>
    <row r="1178" spans="1:17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</row>
    <row r="1179" spans="1:17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</row>
    <row r="1180" spans="1:17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</row>
    <row r="1181" spans="1:17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</row>
    <row r="1182" spans="1:17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</row>
    <row r="1183" spans="1:17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</row>
    <row r="1184" spans="1:17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</row>
    <row r="1185" spans="1:17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</row>
    <row r="1186" spans="1:17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</row>
    <row r="1187" spans="1:17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</row>
    <row r="1188" spans="1:17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</row>
    <row r="1189" spans="1:17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</row>
    <row r="1190" spans="1:17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</row>
    <row r="1191" spans="1:17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</row>
    <row r="1192" spans="1:17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</row>
    <row r="1193" spans="1:17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</row>
    <row r="1194" spans="1:17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</row>
    <row r="1195" spans="1:17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</row>
    <row r="1196" spans="1:17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</row>
    <row r="1197" spans="1:17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</row>
    <row r="1198" spans="1:17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</row>
    <row r="1199" spans="1:17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</row>
    <row r="1200" spans="1:17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</row>
    <row r="1201" spans="1:17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</row>
    <row r="1202" spans="1:17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</row>
    <row r="1203" spans="1:17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</row>
    <row r="1204" spans="1:17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</row>
    <row r="1205" spans="1:17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</row>
    <row r="1206" spans="1:17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</row>
    <row r="1207" spans="1:17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</row>
    <row r="1208" spans="1:17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</row>
    <row r="1209" spans="1:17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</row>
    <row r="1210" spans="1:17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</row>
    <row r="1211" spans="1:17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</row>
    <row r="1212" spans="1:17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</row>
    <row r="1213" spans="1:17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</row>
    <row r="1214" spans="1:17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</row>
    <row r="1215" spans="1:17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</row>
    <row r="1216" spans="1:17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</row>
    <row r="1217" spans="1:17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</row>
    <row r="1218" spans="1:17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</row>
    <row r="1219" spans="1:17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</row>
    <row r="1220" spans="1:17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</row>
    <row r="1221" spans="1:17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</row>
    <row r="1222" spans="1:17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</row>
    <row r="1223" spans="1:17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</row>
    <row r="1224" spans="1:17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</row>
    <row r="1225" spans="1:17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</row>
    <row r="1226" spans="1:17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</row>
    <row r="1227" spans="1:17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</row>
    <row r="1228" spans="1:17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</row>
    <row r="1229" spans="1:17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</row>
    <row r="1230" spans="1:17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</row>
    <row r="1231" spans="1:17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</row>
    <row r="1232" spans="1:17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</row>
    <row r="1233" spans="1:17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</row>
    <row r="1234" spans="1:17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</row>
    <row r="1235" spans="1:17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</row>
    <row r="1236" spans="1:17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</row>
    <row r="1237" spans="1:17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</row>
    <row r="1238" spans="1:17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</row>
    <row r="1239" spans="1:17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</row>
    <row r="1240" spans="1:17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</row>
    <row r="1241" spans="1:17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</row>
    <row r="1242" spans="1:17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</row>
    <row r="1243" spans="1:17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</row>
    <row r="1244" spans="1:17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</row>
    <row r="1245" spans="1:17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</row>
    <row r="1246" spans="1:17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</row>
    <row r="1247" spans="1:17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</row>
    <row r="1248" spans="1:17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</row>
    <row r="1249" spans="1:17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</row>
    <row r="1250" spans="1:17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</row>
    <row r="1251" spans="1:17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</row>
    <row r="1252" spans="1:17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</row>
    <row r="1253" spans="1:17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</row>
    <row r="1254" spans="1:17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</row>
    <row r="1255" spans="1:17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</row>
    <row r="1256" spans="1:17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</row>
    <row r="1257" spans="1:17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</row>
    <row r="1258" spans="1:17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</row>
    <row r="1259" spans="1:17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</row>
    <row r="1260" spans="1:17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</row>
    <row r="1261" spans="1:17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</row>
    <row r="1262" spans="1:17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</row>
    <row r="1263" spans="1:17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</row>
    <row r="1264" spans="1:17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</row>
    <row r="1265" spans="1:17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</row>
    <row r="1266" spans="1:17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</row>
    <row r="1267" spans="1:17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</row>
    <row r="1268" spans="1:17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</row>
    <row r="1269" spans="1:17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</row>
    <row r="1270" spans="1:17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</row>
    <row r="1271" spans="1:17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</row>
    <row r="1272" spans="1:17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</row>
    <row r="1273" spans="1:17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</row>
    <row r="1274" spans="1:17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</row>
    <row r="1275" spans="1:17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</row>
    <row r="1276" spans="1:17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</row>
    <row r="1277" spans="1:17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</row>
    <row r="1278" spans="1:17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</row>
    <row r="1279" spans="1:17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</row>
    <row r="1280" spans="1:17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</row>
    <row r="1281" spans="1:17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</row>
    <row r="1282" spans="1:17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</row>
    <row r="1283" spans="1:17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</row>
    <row r="1284" spans="1:17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</row>
    <row r="1285" spans="1:17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</row>
    <row r="1286" spans="1:17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</row>
    <row r="1287" spans="1:17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</row>
    <row r="1288" spans="1:17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</row>
    <row r="1289" spans="1:17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</row>
    <row r="1290" spans="1:17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</row>
    <row r="1291" spans="1:17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</row>
    <row r="1292" spans="1:17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</row>
    <row r="1293" spans="1:17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</row>
    <row r="1294" spans="1:17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</row>
    <row r="1295" spans="1:17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</row>
    <row r="1296" spans="1:17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</row>
    <row r="1297" spans="1:17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</row>
    <row r="1298" spans="1:17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</row>
    <row r="1299" spans="1:17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</row>
    <row r="1300" spans="1:17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</row>
    <row r="1301" spans="1:17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</row>
    <row r="1302" spans="1:17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</row>
    <row r="1303" spans="1:17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</row>
    <row r="1304" spans="1:17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</row>
    <row r="1305" spans="1:17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</row>
    <row r="1306" spans="1:17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</row>
    <row r="1307" spans="1:17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</row>
    <row r="1308" spans="1:17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</row>
    <row r="1309" spans="1:17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</row>
    <row r="1310" spans="1:17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</row>
    <row r="1311" spans="1:17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</row>
    <row r="1312" spans="1:17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</row>
    <row r="1313" spans="1:17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</row>
    <row r="1314" spans="1:17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</row>
    <row r="1315" spans="1:17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</row>
    <row r="1316" spans="1:17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</row>
    <row r="1317" spans="1:17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</row>
    <row r="1318" spans="1:17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</row>
    <row r="1319" spans="1:17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</row>
    <row r="1320" spans="1:17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</row>
    <row r="1321" spans="1:17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</row>
    <row r="1322" spans="1:17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</row>
    <row r="1323" spans="1:17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</row>
    <row r="1324" spans="1:17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</row>
    <row r="1325" spans="1:17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</row>
    <row r="1326" spans="1:17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</row>
    <row r="1327" spans="1:17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</row>
    <row r="1328" spans="1:17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</row>
    <row r="1329" spans="1:17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</row>
    <row r="1330" spans="1:17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</row>
    <row r="1331" spans="1:17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</row>
    <row r="1332" spans="1:17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</row>
    <row r="1333" spans="1:17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</row>
    <row r="1334" spans="1:17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</row>
    <row r="1335" spans="1:17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</row>
    <row r="1336" spans="1:17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</row>
    <row r="1337" spans="1:17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</row>
    <row r="1338" spans="1:17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</row>
    <row r="1339" spans="1:17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</row>
    <row r="1340" spans="1:17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</row>
    <row r="1341" spans="1:17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</row>
    <row r="1342" spans="1:17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</row>
    <row r="1343" spans="1:17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</row>
    <row r="1344" spans="1:17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</row>
    <row r="1345" spans="1:17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</row>
    <row r="1346" spans="1:17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</row>
    <row r="1347" spans="1:17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</row>
    <row r="1348" spans="1:17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</row>
    <row r="1349" spans="1:17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</row>
    <row r="1350" spans="1:17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</row>
    <row r="1351" spans="1:17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</row>
    <row r="1352" spans="1:17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</row>
    <row r="1353" spans="1:17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</row>
    <row r="1354" spans="1:17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</row>
    <row r="1355" spans="1:17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</row>
    <row r="1356" spans="1:17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</row>
    <row r="1357" spans="1:17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</row>
    <row r="1358" spans="1:17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</row>
    <row r="1359" spans="1:17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</row>
    <row r="1360" spans="1:17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</row>
    <row r="1361" spans="1:17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</row>
    <row r="1362" spans="1:17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</row>
    <row r="1363" spans="1:17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</row>
    <row r="1364" spans="1:17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</row>
    <row r="1365" spans="1:17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</row>
    <row r="1366" spans="1:17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</row>
    <row r="1367" spans="1:17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</row>
    <row r="1368" spans="1:17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</row>
    <row r="1369" spans="1:17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</row>
    <row r="1370" spans="1:17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</row>
    <row r="1371" spans="1:17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</row>
    <row r="1372" spans="1:17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</row>
    <row r="1373" spans="1:17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</row>
    <row r="1374" spans="1:17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</row>
    <row r="1375" spans="1:17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</row>
    <row r="1376" spans="1:17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</row>
    <row r="1377" spans="1:17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</row>
    <row r="1378" spans="1:17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</row>
    <row r="1379" spans="1:17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</row>
    <row r="1380" spans="1:17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</row>
    <row r="1381" spans="1:17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</row>
    <row r="1382" spans="1:17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</row>
    <row r="1383" spans="1:17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</row>
    <row r="1384" spans="1:17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</row>
    <row r="1385" spans="1:17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</row>
    <row r="1386" spans="1:17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</row>
    <row r="1387" spans="1:17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</row>
    <row r="1388" spans="1:17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</row>
    <row r="1389" spans="1:17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</row>
    <row r="1390" spans="1:17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</row>
    <row r="1391" spans="1:17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</row>
    <row r="1392" spans="1:17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</row>
    <row r="1393" spans="1:17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</row>
    <row r="1394" spans="1:17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</row>
    <row r="1395" spans="1:17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</row>
    <row r="1396" spans="1:17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</row>
    <row r="1397" spans="1:17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</row>
    <row r="1398" spans="1:17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</row>
    <row r="1399" spans="1:17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</row>
    <row r="1400" spans="1:17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</row>
    <row r="1401" spans="1:17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</row>
    <row r="1402" spans="1:17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</row>
    <row r="1403" spans="1:17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</row>
    <row r="1404" spans="1:17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</row>
    <row r="1405" spans="1:17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</row>
    <row r="1406" spans="1:17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</row>
    <row r="1407" spans="1:17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</row>
    <row r="1408" spans="1:17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</row>
    <row r="1409" spans="1:17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</row>
    <row r="1410" spans="1:17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</row>
    <row r="1411" spans="1:17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</row>
    <row r="1412" spans="1:17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</row>
    <row r="1413" spans="1:17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</row>
    <row r="1414" spans="1:17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</row>
    <row r="1415" spans="1:17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</row>
    <row r="1416" spans="1:17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</row>
    <row r="1417" spans="1:17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</row>
    <row r="1418" spans="1:17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</row>
    <row r="1419" spans="1:17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</row>
    <row r="1420" spans="1:17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</row>
    <row r="1421" spans="1:17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</row>
    <row r="1422" spans="1:17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</row>
    <row r="1423" spans="1:17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</row>
    <row r="1424" spans="1:17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</row>
    <row r="1425" spans="1:17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</row>
    <row r="1426" spans="1:17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</row>
    <row r="1427" spans="1:17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</row>
    <row r="1428" spans="1:17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</row>
    <row r="1429" spans="1:17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</row>
    <row r="1430" spans="1:17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</row>
    <row r="1431" spans="1:17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</row>
    <row r="1432" spans="1:17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</row>
    <row r="1433" spans="1:17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</row>
    <row r="1434" spans="1:17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</row>
    <row r="1435" spans="1:17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</row>
    <row r="1436" spans="1:17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</row>
    <row r="1437" spans="1:17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</row>
    <row r="1438" spans="1:17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</row>
    <row r="1439" spans="1:17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</row>
    <row r="1440" spans="1:17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</row>
    <row r="1441" spans="1:17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</row>
    <row r="1442" spans="1:17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</row>
    <row r="1443" spans="1:17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</row>
    <row r="1444" spans="1:17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</row>
    <row r="1445" spans="1:17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</row>
    <row r="1446" spans="1:17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</row>
    <row r="1447" spans="1:17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</row>
    <row r="1448" spans="1:17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</row>
    <row r="1449" spans="1:17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</row>
    <row r="1450" spans="1:17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</row>
    <row r="1451" spans="1:17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</row>
    <row r="1452" spans="1:17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</row>
    <row r="1453" spans="1:17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</row>
    <row r="1454" spans="1:17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</row>
    <row r="1455" spans="1:17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</row>
    <row r="1456" spans="1:17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</row>
    <row r="1457" spans="1:17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</row>
    <row r="1458" spans="1:17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</row>
    <row r="1459" spans="1:17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</row>
    <row r="1460" spans="1:17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</row>
    <row r="1461" spans="1:17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</row>
    <row r="1462" spans="1:17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</row>
    <row r="1463" spans="1:17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</row>
    <row r="1464" spans="1:17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</row>
    <row r="1465" spans="1:17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</row>
    <row r="1466" spans="1:17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</row>
    <row r="1467" spans="1:17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</row>
    <row r="1468" spans="1:17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</row>
    <row r="1469" spans="1:17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</row>
    <row r="1470" spans="1:17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</row>
    <row r="1471" spans="1:17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</row>
    <row r="1472" spans="1:17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</row>
    <row r="1473" spans="1:17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</row>
    <row r="1474" spans="1:17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</row>
    <row r="1475" spans="1:17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</row>
    <row r="1476" spans="1:17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</row>
    <row r="1477" spans="1:17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</row>
    <row r="1478" spans="1:17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</row>
    <row r="1479" spans="1:17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</row>
    <row r="1480" spans="1:17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</row>
    <row r="1481" spans="1:17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</row>
    <row r="1482" spans="1:17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</row>
    <row r="1483" spans="1:17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</row>
    <row r="1484" spans="1:17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</row>
    <row r="1485" spans="1:17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</row>
    <row r="1486" spans="1:17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</row>
    <row r="1487" spans="1:17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</row>
    <row r="1488" spans="1:17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</row>
    <row r="1489" spans="1:17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</row>
    <row r="1490" spans="1:17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</row>
    <row r="1491" spans="1:17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</row>
    <row r="1492" spans="1:17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</row>
    <row r="1493" spans="1:17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</row>
    <row r="1494" spans="1:17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</row>
    <row r="1495" spans="1:17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</row>
    <row r="1496" spans="1:17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</row>
    <row r="1497" spans="1:17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</row>
    <row r="1498" spans="1:17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</row>
    <row r="1499" spans="1:17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</row>
    <row r="1500" spans="1:17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</row>
    <row r="1501" spans="1:17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</row>
    <row r="1502" spans="1:17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</row>
    <row r="1503" spans="1:17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</row>
    <row r="1504" spans="1:17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</row>
    <row r="1505" spans="1:17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</row>
    <row r="1506" spans="1:17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</row>
    <row r="1507" spans="1:17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</row>
    <row r="1508" spans="1:17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</row>
    <row r="1509" spans="1:17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</row>
    <row r="1510" spans="1:17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</row>
    <row r="1511" spans="1:17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</row>
    <row r="1512" spans="1:17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</row>
    <row r="1513" spans="1:17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</row>
    <row r="1514" spans="1:17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</row>
    <row r="1515" spans="1:17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</row>
    <row r="1516" spans="1:17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</row>
    <row r="1517" spans="1:17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</row>
    <row r="1518" spans="1:17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</row>
    <row r="1519" spans="1:17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</row>
    <row r="1520" spans="1:17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</row>
    <row r="1521" spans="1:17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</row>
    <row r="1522" spans="1:17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</row>
    <row r="1523" spans="1:17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</row>
    <row r="1524" spans="1:17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</row>
    <row r="1525" spans="1:17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</row>
    <row r="1526" spans="1:17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</row>
    <row r="1527" spans="1:17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</row>
    <row r="1528" spans="1:17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</row>
    <row r="1529" spans="1:17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</row>
    <row r="1530" spans="1:17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</row>
    <row r="1531" spans="1:17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</row>
    <row r="1532" spans="1:17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</row>
    <row r="1533" spans="1:17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</row>
    <row r="1534" spans="1:17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</row>
    <row r="1535" spans="1:17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</row>
    <row r="1536" spans="1:17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</row>
    <row r="1537" spans="1:17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</row>
    <row r="1538" spans="1:17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</row>
    <row r="1539" spans="1:17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</row>
    <row r="1540" spans="1:17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</row>
    <row r="1541" spans="1:17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</row>
    <row r="1542" spans="1:17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</row>
    <row r="1543" spans="1:17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</row>
    <row r="1544" spans="1:17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</row>
    <row r="1545" spans="1:17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</row>
    <row r="1546" spans="1:17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</row>
    <row r="1547" spans="1:17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</row>
    <row r="1548" spans="1:17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</row>
    <row r="1549" spans="1:17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</row>
    <row r="1550" spans="1:17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</row>
    <row r="1551" spans="1:17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</row>
    <row r="1552" spans="1:17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</row>
    <row r="1553" spans="1:17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</row>
    <row r="1554" spans="1:17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</row>
    <row r="1555" spans="1:17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</row>
    <row r="1556" spans="1:17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</row>
    <row r="1557" spans="1:17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</row>
    <row r="1558" spans="1:17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</row>
    <row r="1559" spans="1:17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</row>
    <row r="1560" spans="1:17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</row>
    <row r="1561" spans="1:17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</row>
    <row r="1562" spans="1:17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</row>
    <row r="1563" spans="1:17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</row>
    <row r="1564" spans="1:17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</row>
    <row r="1565" spans="1:17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</row>
    <row r="1566" spans="1:17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</row>
    <row r="1567" spans="1:17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</row>
    <row r="1568" spans="1:17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</row>
    <row r="1569" spans="1:17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</row>
    <row r="1570" spans="1:17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</row>
    <row r="1571" spans="1:17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</row>
    <row r="1572" spans="1:17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</row>
    <row r="1573" spans="1:17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</row>
    <row r="1574" spans="1:17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</row>
    <row r="1575" spans="1:17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</row>
    <row r="1576" spans="1:17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</row>
    <row r="1577" spans="1:17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</row>
    <row r="1578" spans="1:17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</row>
    <row r="1579" spans="1:17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</row>
    <row r="1580" spans="1:17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</row>
    <row r="1581" spans="1:17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</row>
    <row r="1582" spans="1:17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</row>
    <row r="1583" spans="1:17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</row>
    <row r="1584" spans="1:17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</row>
    <row r="1585" spans="1:17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</row>
    <row r="1586" spans="1:17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</row>
    <row r="1587" spans="1:17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</row>
    <row r="1588" spans="1:17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</row>
    <row r="1589" spans="1:17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</row>
    <row r="1590" spans="1:17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</row>
    <row r="1591" spans="1:17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</row>
    <row r="1592" spans="1:17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</row>
    <row r="1593" spans="1:17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</row>
    <row r="1594" spans="1:17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</row>
    <row r="1595" spans="1:17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</row>
    <row r="1596" spans="1:17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</row>
    <row r="1597" spans="1:17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</row>
    <row r="1598" spans="1:17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</row>
    <row r="1599" spans="1:17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</row>
    <row r="1600" spans="1:17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</row>
    <row r="1601" spans="1:17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</row>
    <row r="1602" spans="1:17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</row>
    <row r="1603" spans="1:17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</row>
    <row r="1604" spans="1:17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</row>
    <row r="1605" spans="1:17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</row>
    <row r="1606" spans="1:17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</row>
    <row r="1607" spans="1:17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</row>
    <row r="1608" spans="1:17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</row>
    <row r="1609" spans="1:17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</row>
    <row r="1610" spans="1:17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</row>
    <row r="1611" spans="1:17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</row>
    <row r="1612" spans="1:17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</row>
    <row r="1613" spans="1:17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</row>
    <row r="1614" spans="1:17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</row>
    <row r="1615" spans="1:17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</row>
    <row r="1616" spans="1:17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</row>
    <row r="1617" spans="1:17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</row>
    <row r="1618" spans="1:17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</row>
    <row r="1619" spans="1:17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</row>
    <row r="1620" spans="1:17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</row>
    <row r="1621" spans="1:17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</row>
    <row r="1622" spans="1:17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</row>
    <row r="1623" spans="1:17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</row>
    <row r="1624" spans="1:17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</row>
    <row r="1625" spans="1:17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</row>
    <row r="1626" spans="1:17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</row>
    <row r="1627" spans="1:17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</row>
    <row r="1628" spans="1:17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</row>
    <row r="1629" spans="1:17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</row>
    <row r="1630" spans="1:17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</row>
    <row r="1631" spans="1:17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</row>
    <row r="1632" spans="1:17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</row>
    <row r="1633" spans="1:17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</row>
    <row r="1634" spans="1:17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</row>
    <row r="1635" spans="1:17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</row>
    <row r="1636" spans="1:17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</row>
    <row r="1637" spans="1:17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</row>
    <row r="1638" spans="1:17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</row>
    <row r="1639" spans="1:17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</row>
    <row r="1640" spans="1:17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</row>
    <row r="1641" spans="1:17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</row>
    <row r="1642" spans="1:17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</row>
    <row r="1643" spans="1:17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</row>
    <row r="1644" spans="1:17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</row>
    <row r="1645" spans="1:17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</row>
    <row r="1646" spans="1:17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</row>
    <row r="1647" spans="1:17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</row>
    <row r="1648" spans="1:17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</row>
    <row r="1649" spans="1:17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</row>
    <row r="1650" spans="1:17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</row>
    <row r="1651" spans="1:17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</row>
    <row r="1652" spans="1:17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</row>
    <row r="1653" spans="1:17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</row>
    <row r="1654" spans="1:17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</row>
    <row r="1655" spans="1:17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</row>
    <row r="1656" spans="1:17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</row>
    <row r="1657" spans="1:17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</row>
    <row r="1658" spans="1:17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</row>
    <row r="1659" spans="1:17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</row>
    <row r="1660" spans="1:17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</row>
    <row r="1661" spans="1:17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</row>
    <row r="1662" spans="1:17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</row>
    <row r="1663" spans="1:17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</row>
    <row r="1664" spans="1:17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</row>
    <row r="1665" spans="1:17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</row>
    <row r="1666" spans="1:17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</row>
    <row r="1667" spans="1:17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</row>
    <row r="1668" spans="1:17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</row>
    <row r="1669" spans="1:17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</row>
    <row r="1670" spans="1:17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</row>
    <row r="1671" spans="1:17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</row>
    <row r="1672" spans="1:17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</row>
    <row r="1673" spans="1:17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</row>
    <row r="1674" spans="1:17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</row>
    <row r="1675" spans="1:17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</row>
    <row r="1676" spans="1:17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</row>
    <row r="1677" spans="1:17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</row>
    <row r="1678" spans="1:17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</row>
    <row r="1679" spans="1:17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</row>
    <row r="1680" spans="1:17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</row>
    <row r="1681" spans="1:17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</row>
    <row r="1682" spans="1:17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</row>
    <row r="1683" spans="1:17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</row>
    <row r="1684" spans="1:17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</row>
    <row r="1685" spans="1:17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</row>
    <row r="1686" spans="1:17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</row>
    <row r="1687" spans="1:17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</row>
    <row r="1688" spans="1:17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</row>
    <row r="1689" spans="1:17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</row>
    <row r="1690" spans="1:17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</row>
    <row r="1691" spans="1:17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</row>
    <row r="1692" spans="1:17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</row>
    <row r="1693" spans="1:17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</row>
    <row r="1694" spans="1:17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</row>
    <row r="1695" spans="1:17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</row>
    <row r="1696" spans="1:17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</row>
    <row r="1697" spans="1:17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</row>
    <row r="1698" spans="1:17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</row>
    <row r="1699" spans="1:17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</row>
    <row r="1700" spans="1:17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</row>
    <row r="1701" spans="1:17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</row>
    <row r="1702" spans="1:17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</row>
    <row r="1703" spans="1:17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</row>
    <row r="1704" spans="1:17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</row>
    <row r="1705" spans="1:17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</row>
    <row r="1706" spans="1:17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</row>
    <row r="1707" spans="1:17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</row>
    <row r="1708" spans="1:17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</row>
    <row r="1709" spans="1:17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</row>
    <row r="1710" spans="1:17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</row>
    <row r="1711" spans="1:17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</row>
    <row r="1712" spans="1:17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</row>
    <row r="1713" spans="1:17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</row>
    <row r="1714" spans="1:17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</row>
    <row r="1715" spans="1:17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</row>
    <row r="1716" spans="1:17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</row>
    <row r="1717" spans="1:17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</row>
    <row r="1718" spans="1:17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</row>
    <row r="1719" spans="1:17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</row>
    <row r="1720" spans="1:17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</row>
    <row r="1721" spans="1:17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</row>
    <row r="1722" spans="1:17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</row>
    <row r="1723" spans="1:17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</row>
    <row r="1724" spans="1:17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</row>
    <row r="1725" spans="1:17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</row>
    <row r="1726" spans="1:17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</row>
    <row r="1727" spans="1:17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</row>
    <row r="1728" spans="1:17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</row>
    <row r="1729" spans="1:17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</row>
    <row r="1730" spans="1:17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</row>
    <row r="1731" spans="1:17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</row>
    <row r="1732" spans="1:17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</row>
    <row r="1733" spans="1:17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</row>
    <row r="1734" spans="1:17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</row>
    <row r="1735" spans="1:17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</row>
    <row r="1736" spans="1:17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</row>
    <row r="1737" spans="1:17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</row>
    <row r="1738" spans="1:17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</row>
    <row r="1739" spans="1:17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</row>
    <row r="1740" spans="1:17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</row>
    <row r="1741" spans="1:17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</row>
    <row r="1742" spans="1:17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</row>
    <row r="1743" spans="1:17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</row>
    <row r="1744" spans="1:17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</row>
    <row r="1745" spans="1:17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</row>
    <row r="1746" spans="1:17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</row>
    <row r="1747" spans="1:17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</row>
    <row r="1748" spans="1:17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</row>
    <row r="1749" spans="1:17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</row>
    <row r="1750" spans="1:17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</row>
    <row r="1751" spans="1:17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</row>
    <row r="1752" spans="1:17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</row>
    <row r="1753" spans="1:17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</row>
    <row r="1754" spans="1:17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</row>
    <row r="1755" spans="1:17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</row>
    <row r="1756" spans="1:17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</row>
    <row r="1757" spans="1:17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</row>
    <row r="1758" spans="1:17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</row>
    <row r="1759" spans="1:17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</row>
    <row r="1760" spans="1:17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</row>
    <row r="1761" spans="1:17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</row>
    <row r="1762" spans="1:17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</row>
    <row r="1763" spans="1:17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</row>
    <row r="1764" spans="1:17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</row>
    <row r="1765" spans="1:17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</row>
    <row r="1766" spans="1:17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</row>
    <row r="1767" spans="1:17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</row>
    <row r="1768" spans="1:17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</row>
    <row r="1769" spans="1:17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</row>
    <row r="1770" spans="1:17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</row>
    <row r="1771" spans="1:17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</row>
    <row r="1772" spans="1:17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</row>
    <row r="1773" spans="1:17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</row>
    <row r="1774" spans="1:17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</row>
    <row r="1775" spans="1:17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</row>
    <row r="1776" spans="1:17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</row>
    <row r="1777" spans="1:17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</row>
    <row r="1778" spans="1:17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</row>
    <row r="1779" spans="1:17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</row>
    <row r="1780" spans="1:17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</row>
    <row r="1781" spans="1:17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</row>
    <row r="1782" spans="1:17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</row>
    <row r="1783" spans="1:17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</row>
    <row r="1784" spans="1:17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</row>
    <row r="1785" spans="1:17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</row>
    <row r="1786" spans="1:17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</row>
    <row r="1787" spans="1:17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</row>
    <row r="1788" spans="1:17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</row>
    <row r="1789" spans="1:17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</row>
    <row r="1790" spans="1:17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</row>
    <row r="1791" spans="1:17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</row>
    <row r="1792" spans="1:17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</row>
    <row r="1793" spans="1:17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</row>
    <row r="1794" spans="1:17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</row>
    <row r="1795" spans="1:17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</row>
    <row r="1796" spans="1:17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</row>
    <row r="1797" spans="1:17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</row>
    <row r="1798" spans="1:17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</row>
    <row r="1799" spans="1:17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</row>
    <row r="1800" spans="1:17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</row>
    <row r="1801" spans="1:17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</row>
    <row r="1802" spans="1:17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</row>
    <row r="1803" spans="1:17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</row>
    <row r="1804" spans="1:17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</row>
    <row r="1805" spans="1:17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</row>
    <row r="1806" spans="1:17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</row>
    <row r="1807" spans="1:17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</row>
    <row r="1808" spans="1:17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</row>
    <row r="1809" spans="1:17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</row>
    <row r="1810" spans="1:17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</row>
    <row r="1811" spans="1:17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</row>
    <row r="1812" spans="1:17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</row>
    <row r="1813" spans="1:17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</row>
    <row r="1814" spans="1:17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</row>
    <row r="1815" spans="1:17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</row>
    <row r="1816" spans="1:17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</row>
    <row r="1817" spans="1:17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</row>
    <row r="1818" spans="1:17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</row>
    <row r="1819" spans="1:17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</row>
    <row r="1820" spans="1:17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</row>
    <row r="1821" spans="1:17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</row>
    <row r="1822" spans="1:17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</row>
    <row r="1823" spans="1:17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</row>
    <row r="1824" spans="1:17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</row>
    <row r="1825" spans="1:17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</row>
    <row r="1826" spans="1:17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</row>
    <row r="1827" spans="1:17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</row>
    <row r="1828" spans="1:17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</row>
    <row r="1829" spans="1:17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</row>
  </sheetData>
  <mergeCells count="1">
    <mergeCell ref="G1:I1"/>
  </mergeCells>
  <pageMargins left="0.7" right="0.7" top="0.75" bottom="0.75" header="0.3" footer="0.3"/>
  <pageSetup orientation="portrait" r:id="rId1"/>
  <headerFooter>
    <oddHeader xml:space="preserve">&amp;L
</oddHeader>
  </headerFooter>
  <drawing r:id="rId2"/>
  <legacyDrawing r:id="rId3"/>
  <controls>
    <mc:AlternateContent xmlns:mc="http://schemas.openxmlformats.org/markup-compatibility/2006">
      <mc:Choice Requires="x14">
        <control shapeId="13314" r:id="rId4" name="DTPicker21">
          <controlPr autoLine="0" autoPict="0" r:id="rId5">
            <anchor moveWithCells="1">
              <from>
                <xdr:col>0</xdr:col>
                <xdr:colOff>419100</xdr:colOff>
                <xdr:row>9</xdr:row>
                <xdr:rowOff>0</xdr:rowOff>
              </from>
              <to>
                <xdr:col>2</xdr:col>
                <xdr:colOff>180975</xdr:colOff>
                <xdr:row>10</xdr:row>
                <xdr:rowOff>95250</xdr:rowOff>
              </to>
            </anchor>
          </controlPr>
        </control>
      </mc:Choice>
      <mc:Fallback>
        <control shapeId="13314" r:id="rId4" name="DTPicker21"/>
      </mc:Fallback>
    </mc:AlternateContent>
    <mc:AlternateContent xmlns:mc="http://schemas.openxmlformats.org/markup-compatibility/2006">
      <mc:Choice Requires="x14">
        <control shapeId="13321" r:id="rId6" name="DTPicker22">
          <controlPr autoLine="0" autoPict="0" r:id="rId7">
            <anchor moveWithCells="1">
              <from>
                <xdr:col>2</xdr:col>
                <xdr:colOff>190500</xdr:colOff>
                <xdr:row>9</xdr:row>
                <xdr:rowOff>0</xdr:rowOff>
              </from>
              <to>
                <xdr:col>4</xdr:col>
                <xdr:colOff>0</xdr:colOff>
                <xdr:row>10</xdr:row>
                <xdr:rowOff>95250</xdr:rowOff>
              </to>
            </anchor>
          </controlPr>
        </control>
      </mc:Choice>
      <mc:Fallback>
        <control shapeId="13321" r:id="rId6" name="DTPicker22"/>
      </mc:Fallback>
    </mc:AlternateContent>
    <mc:AlternateContent xmlns:mc="http://schemas.openxmlformats.org/markup-compatibility/2006">
      <mc:Choice Requires="x14">
        <control shapeId="13325" r:id="rId8" name="TabStrip1">
          <controlPr autoLine="0" autoPict="0" r:id="rId9">
            <anchor moveWithCells="1">
              <from>
                <xdr:col>0</xdr:col>
                <xdr:colOff>47625</xdr:colOff>
                <xdr:row>4</xdr:row>
                <xdr:rowOff>171450</xdr:rowOff>
              </from>
              <to>
                <xdr:col>4</xdr:col>
                <xdr:colOff>47625</xdr:colOff>
                <xdr:row>22</xdr:row>
                <xdr:rowOff>161925</xdr:rowOff>
              </to>
            </anchor>
          </controlPr>
        </control>
      </mc:Choice>
      <mc:Fallback>
        <control shapeId="13325" r:id="rId8" name="TabStrip1"/>
      </mc:Fallback>
    </mc:AlternateContent>
    <mc:AlternateContent xmlns:mc="http://schemas.openxmlformats.org/markup-compatibility/2006">
      <mc:Choice Requires="x14">
        <control shapeId="13313" r:id="rId10" name="Group Box 1">
          <controlPr defaultSize="0" autoFill="0" autoPict="0">
            <anchor moveWithCells="1">
              <from>
                <xdr:col>0</xdr:col>
                <xdr:colOff>361950</xdr:colOff>
                <xdr:row>7</xdr:row>
                <xdr:rowOff>123825</xdr:rowOff>
              </from>
              <to>
                <xdr:col>6</xdr:col>
                <xdr:colOff>38100</xdr:colOff>
                <xdr:row>11</xdr:row>
                <xdr:rowOff>28575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3315" r:id="rId11" name="Label 3">
          <controlPr defaultSize="0" autoFill="0" autoLine="0" autoPict="0">
            <anchor moveWithCells="1">
              <from>
                <xdr:col>0</xdr:col>
                <xdr:colOff>400050</xdr:colOff>
                <xdr:row>8</xdr:row>
                <xdr:rowOff>47625</xdr:rowOff>
              </from>
              <to>
                <xdr:col>2</xdr:col>
                <xdr:colOff>57150</xdr:colOff>
                <xdr:row>9</xdr:row>
                <xdr:rowOff>9525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3316" r:id="rId12" name="Label 4">
          <controlPr defaultSize="0" autoFill="0" autoLine="0" autoPict="0">
            <anchor moveWithCells="1">
              <from>
                <xdr:col>2</xdr:col>
                <xdr:colOff>247650</xdr:colOff>
                <xdr:row>8</xdr:row>
                <xdr:rowOff>47625</xdr:rowOff>
              </from>
              <to>
                <xdr:col>4</xdr:col>
                <xdr:colOff>0</xdr:colOff>
                <xdr:row>9</xdr:row>
                <xdr:rowOff>9525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3318" r:id="rId13" name="Label 6">
          <controlPr defaultSize="0" autoFill="0" autoLine="0" autoPict="0">
            <anchor moveWithCells="1">
              <from>
                <xdr:col>4</xdr:col>
                <xdr:colOff>57150</xdr:colOff>
                <xdr:row>8</xdr:row>
                <xdr:rowOff>38100</xdr:rowOff>
              </from>
              <to>
                <xdr:col>5</xdr:col>
                <xdr:colOff>466725</xdr:colOff>
                <xdr:row>9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3320" r:id="rId14" name="Drop Down 8">
          <controlPr defaultSize="0" autoLine="0" autoPict="0">
            <anchor moveWithCells="1">
              <from>
                <xdr:col>4</xdr:col>
                <xdr:colOff>38100</xdr:colOff>
                <xdr:row>9</xdr:row>
                <xdr:rowOff>0</xdr:rowOff>
              </from>
              <to>
                <xdr:col>5</xdr:col>
                <xdr:colOff>561975</xdr:colOff>
                <xdr:row>10</xdr:row>
                <xdr:rowOff>66675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3322" r:id="rId15" name="Button 10">
          <controlPr defaultSize="0" print="0" autoFill="0" autoPict="0">
            <anchor moveWithCells="1">
              <from>
                <xdr:col>6</xdr:col>
                <xdr:colOff>76200</xdr:colOff>
                <xdr:row>7</xdr:row>
                <xdr:rowOff>104775</xdr:rowOff>
              </from>
              <to>
                <xdr:col>8</xdr:col>
                <xdr:colOff>28575</xdr:colOff>
                <xdr:row>9</xdr:row>
                <xdr:rowOff>47625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3323" r:id="rId16" name="Button 11">
          <controlPr defaultSize="0" print="0" autoFill="0" autoPict="0">
            <anchor moveWithCells="1">
              <from>
                <xdr:col>6</xdr:col>
                <xdr:colOff>76200</xdr:colOff>
                <xdr:row>9</xdr:row>
                <xdr:rowOff>76200</xdr:rowOff>
              </from>
              <to>
                <xdr:col>8</xdr:col>
                <xdr:colOff>28575</xdr:colOff>
                <xdr:row>11</xdr:row>
                <xdr:rowOff>28575</xdr:rowOff>
              </to>
            </anchor>
          </controlPr>
        </control>
      </mc:Choice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1"/>
  </sheetPr>
  <dimension ref="A1:K15"/>
  <sheetViews>
    <sheetView zoomScale="75" zoomScaleNormal="75" workbookViewId="0">
      <selection activeCell="B5" sqref="B5"/>
    </sheetView>
  </sheetViews>
  <sheetFormatPr defaultRowHeight="15" x14ac:dyDescent="0.25"/>
  <cols>
    <col min="1" max="1" width="18.140625" customWidth="1"/>
    <col min="2" max="2" width="11.85546875" customWidth="1"/>
  </cols>
  <sheetData>
    <row r="1" spans="1:11" x14ac:dyDescent="0.25">
      <c r="A1" t="s">
        <v>69</v>
      </c>
      <c r="B1" t="s">
        <v>67</v>
      </c>
    </row>
    <row r="2" spans="1:11" ht="15.75" thickBot="1" x14ac:dyDescent="0.3">
      <c r="A2" t="s">
        <v>70</v>
      </c>
      <c r="B2" t="s">
        <v>68</v>
      </c>
    </row>
    <row r="3" spans="1:11" ht="29.25" thickBot="1" x14ac:dyDescent="0.5">
      <c r="D3" s="190" t="s">
        <v>83</v>
      </c>
      <c r="E3" s="191"/>
      <c r="F3" s="191"/>
      <c r="G3" s="192"/>
      <c r="H3" s="191"/>
      <c r="I3" s="191"/>
      <c r="J3" s="191"/>
      <c r="K3" s="192"/>
    </row>
    <row r="5" spans="1:11" x14ac:dyDescent="0.25">
      <c r="A5" t="s">
        <v>71</v>
      </c>
      <c r="B5" t="s">
        <v>72</v>
      </c>
    </row>
    <row r="6" spans="1:11" x14ac:dyDescent="0.25">
      <c r="B6" t="s">
        <v>73</v>
      </c>
    </row>
    <row r="7" spans="1:11" x14ac:dyDescent="0.25">
      <c r="B7" t="s">
        <v>74</v>
      </c>
    </row>
    <row r="8" spans="1:11" x14ac:dyDescent="0.25">
      <c r="B8" t="s">
        <v>75</v>
      </c>
    </row>
    <row r="9" spans="1:11" x14ac:dyDescent="0.25">
      <c r="B9" t="s">
        <v>76</v>
      </c>
    </row>
    <row r="10" spans="1:11" x14ac:dyDescent="0.25">
      <c r="B10" t="s">
        <v>77</v>
      </c>
    </row>
    <row r="11" spans="1:11" x14ac:dyDescent="0.25">
      <c r="B11" t="s">
        <v>78</v>
      </c>
    </row>
    <row r="12" spans="1:11" x14ac:dyDescent="0.25">
      <c r="B12" t="s">
        <v>79</v>
      </c>
    </row>
    <row r="13" spans="1:11" x14ac:dyDescent="0.25">
      <c r="B13" t="s">
        <v>80</v>
      </c>
    </row>
    <row r="14" spans="1:11" x14ac:dyDescent="0.25">
      <c r="B14" t="s">
        <v>81</v>
      </c>
    </row>
    <row r="15" spans="1:11" x14ac:dyDescent="0.25">
      <c r="B1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50"/>
  <sheetViews>
    <sheetView view="pageLayout" zoomScaleNormal="100" workbookViewId="0">
      <selection activeCell="S27" sqref="S27"/>
    </sheetView>
  </sheetViews>
  <sheetFormatPr defaultColWidth="10.28515625" defaultRowHeight="15" x14ac:dyDescent="0.25"/>
  <cols>
    <col min="1" max="1" width="14.85546875" customWidth="1"/>
    <col min="4" max="5" width="10.28515625" customWidth="1"/>
    <col min="6" max="6" width="16.5703125" customWidth="1"/>
    <col min="8" max="8" width="12" customWidth="1"/>
    <col min="9" max="9" width="4.85546875" customWidth="1"/>
  </cols>
  <sheetData>
    <row r="1" spans="1:9" ht="116.25" customHeight="1" thickBot="1" x14ac:dyDescent="0.6">
      <c r="A1" s="119"/>
      <c r="B1" s="119"/>
      <c r="C1" s="119"/>
      <c r="D1" s="119"/>
      <c r="E1" s="119"/>
      <c r="F1" s="119"/>
      <c r="G1" s="202" t="s">
        <v>10</v>
      </c>
      <c r="H1" s="202"/>
      <c r="I1" s="202"/>
    </row>
    <row r="2" spans="1:9" ht="30" customHeight="1" thickBot="1" x14ac:dyDescent="0.5">
      <c r="A2" s="203" t="s">
        <v>49</v>
      </c>
      <c r="B2" s="204"/>
      <c r="C2" s="204"/>
      <c r="D2" s="132"/>
      <c r="E2" s="205" t="s">
        <v>9</v>
      </c>
      <c r="F2" s="205"/>
      <c r="G2" s="206">
        <v>41428</v>
      </c>
      <c r="H2" s="205"/>
      <c r="I2" s="207"/>
    </row>
    <row r="3" spans="1:9" ht="6.75" customHeight="1" x14ac:dyDescent="0.45">
      <c r="A3" s="102"/>
      <c r="B3" s="103"/>
      <c r="C3" s="103"/>
      <c r="D3" s="103"/>
      <c r="E3" s="103"/>
      <c r="F3" s="103"/>
      <c r="G3" s="103"/>
      <c r="H3" s="103"/>
      <c r="I3" s="103"/>
    </row>
    <row r="4" spans="1:9" ht="6.75" customHeight="1" x14ac:dyDescent="0.25">
      <c r="A4" s="119"/>
      <c r="B4" s="119"/>
      <c r="C4" s="119"/>
      <c r="D4" s="119"/>
      <c r="E4" s="119"/>
      <c r="F4" s="119"/>
      <c r="G4" s="119"/>
      <c r="H4" s="119"/>
      <c r="I4" s="119"/>
    </row>
    <row r="5" spans="1:9" ht="6.75" customHeight="1" thickBot="1" x14ac:dyDescent="0.3">
      <c r="A5" s="119"/>
      <c r="B5" s="119"/>
      <c r="C5" s="119"/>
      <c r="D5" s="119"/>
      <c r="E5" s="119"/>
      <c r="F5" s="119"/>
      <c r="G5" s="119"/>
      <c r="H5" s="119"/>
      <c r="I5" s="119"/>
    </row>
    <row r="6" spans="1:9" ht="15.75" thickBot="1" x14ac:dyDescent="0.3">
      <c r="A6" s="104" t="s">
        <v>8</v>
      </c>
      <c r="B6" s="200" t="s">
        <v>50</v>
      </c>
      <c r="C6" s="201"/>
      <c r="D6" s="106" t="s">
        <v>22</v>
      </c>
      <c r="E6" s="105" t="s">
        <v>4</v>
      </c>
      <c r="F6" s="119"/>
      <c r="G6" s="119"/>
      <c r="H6" s="119"/>
      <c r="I6" s="119"/>
    </row>
    <row r="7" spans="1:9" x14ac:dyDescent="0.25">
      <c r="A7" s="119"/>
      <c r="B7" s="185" t="s">
        <v>2</v>
      </c>
      <c r="C7" s="116"/>
      <c r="D7" s="127">
        <f>TIME(, ,E7*28800)</f>
        <v>0.24000000000000002</v>
      </c>
      <c r="E7" s="128">
        <v>0.72</v>
      </c>
      <c r="F7" s="119"/>
      <c r="G7" s="119"/>
      <c r="H7" s="119"/>
      <c r="I7" s="119"/>
    </row>
    <row r="8" spans="1:9" x14ac:dyDescent="0.25">
      <c r="A8" s="119"/>
      <c r="B8" s="131" t="s">
        <v>0</v>
      </c>
      <c r="C8" s="118"/>
      <c r="D8" s="109">
        <f t="shared" ref="D8:D14" si="0">TIME(, ,E8*28800)</f>
        <v>6.0000000000000005E-2</v>
      </c>
      <c r="E8" s="110">
        <v>0.18</v>
      </c>
      <c r="F8" s="119"/>
      <c r="G8" s="119"/>
      <c r="H8" s="119"/>
      <c r="I8" s="119"/>
    </row>
    <row r="9" spans="1:9" x14ac:dyDescent="0.25">
      <c r="A9" s="119"/>
      <c r="B9" s="208" t="s">
        <v>1</v>
      </c>
      <c r="C9" s="209"/>
      <c r="D9" s="111">
        <f>TIME(, ,E9*28800)</f>
        <v>2.6666666666666668E-2</v>
      </c>
      <c r="E9" s="112">
        <v>0.08</v>
      </c>
      <c r="F9" s="119"/>
      <c r="G9" s="119"/>
      <c r="H9" s="119"/>
      <c r="I9" s="119"/>
    </row>
    <row r="10" spans="1:9" x14ac:dyDescent="0.25">
      <c r="A10" s="119"/>
      <c r="B10" s="198" t="s">
        <v>11</v>
      </c>
      <c r="C10" s="199"/>
      <c r="D10" s="113">
        <f t="shared" si="0"/>
        <v>0</v>
      </c>
      <c r="E10" s="114">
        <v>0</v>
      </c>
      <c r="F10" s="119"/>
      <c r="G10" s="119"/>
      <c r="H10" s="119"/>
      <c r="I10" s="119"/>
    </row>
    <row r="11" spans="1:9" x14ac:dyDescent="0.25">
      <c r="A11" s="119"/>
      <c r="B11" s="198" t="s">
        <v>12</v>
      </c>
      <c r="C11" s="199"/>
      <c r="D11" s="113">
        <f t="shared" si="0"/>
        <v>0</v>
      </c>
      <c r="E11" s="114">
        <v>0</v>
      </c>
      <c r="F11" s="119"/>
      <c r="G11" s="119"/>
      <c r="H11" s="119"/>
      <c r="I11" s="119"/>
    </row>
    <row r="12" spans="1:9" x14ac:dyDescent="0.25">
      <c r="A12" s="119"/>
      <c r="B12" s="198" t="s">
        <v>14</v>
      </c>
      <c r="C12" s="199"/>
      <c r="D12" s="113">
        <f t="shared" si="0"/>
        <v>4.6643518518518518E-3</v>
      </c>
      <c r="E12" s="114">
        <v>1.4E-2</v>
      </c>
      <c r="F12" s="119"/>
      <c r="G12" s="119"/>
      <c r="H12" s="119"/>
      <c r="I12" s="119"/>
    </row>
    <row r="13" spans="1:9" ht="15.75" thickBot="1" x14ac:dyDescent="0.3">
      <c r="A13" s="119"/>
      <c r="B13" s="194" t="s">
        <v>13</v>
      </c>
      <c r="C13" s="195"/>
      <c r="D13" s="113">
        <f t="shared" si="0"/>
        <v>1.9907407407407408E-3</v>
      </c>
      <c r="E13" s="114">
        <v>6.0000000000000001E-3</v>
      </c>
      <c r="F13" s="119"/>
      <c r="G13" s="119"/>
      <c r="H13" s="119"/>
      <c r="I13" s="119"/>
    </row>
    <row r="14" spans="1:9" ht="15.75" thickBot="1" x14ac:dyDescent="0.3">
      <c r="A14" s="119"/>
      <c r="B14" s="196" t="s">
        <v>3</v>
      </c>
      <c r="C14" s="197"/>
      <c r="D14" s="115">
        <f t="shared" si="0"/>
        <v>0.33333333333333331</v>
      </c>
      <c r="E14" s="101">
        <f>SUM(E7:E13)</f>
        <v>0.99999999999999989</v>
      </c>
      <c r="F14" s="119"/>
      <c r="G14" s="119"/>
      <c r="H14" s="119"/>
      <c r="I14" s="119"/>
    </row>
    <row r="15" spans="1:9" ht="3.75" customHeight="1" x14ac:dyDescent="0.25">
      <c r="A15" s="121">
        <f>D7+D21+D35</f>
        <v>0.73666666666666658</v>
      </c>
      <c r="B15" s="24" t="s">
        <v>16</v>
      </c>
      <c r="C15" s="24"/>
      <c r="D15" s="122">
        <f>SUM(D10:D13)</f>
        <v>6.6550925925925927E-3</v>
      </c>
      <c r="E15" s="123"/>
      <c r="F15" s="119"/>
      <c r="G15" s="119"/>
      <c r="H15" s="119"/>
      <c r="I15" s="119"/>
    </row>
    <row r="16" spans="1:9" ht="3.75" customHeight="1" x14ac:dyDescent="0.25">
      <c r="A16" s="36">
        <f>17*3600+40*60+48</f>
        <v>63648</v>
      </c>
      <c r="B16" s="23" t="s">
        <v>2</v>
      </c>
      <c r="C16" s="23"/>
      <c r="D16" s="20">
        <f>D7</f>
        <v>0.24000000000000002</v>
      </c>
      <c r="E16" s="123"/>
      <c r="F16" s="119"/>
      <c r="G16" s="119"/>
      <c r="H16" s="119"/>
      <c r="I16" s="119"/>
    </row>
    <row r="17" spans="1:9" ht="3.75" customHeight="1" x14ac:dyDescent="0.25">
      <c r="A17" s="36">
        <f>24*3600</f>
        <v>86400</v>
      </c>
      <c r="B17" s="21" t="s">
        <v>0</v>
      </c>
      <c r="C17" s="21"/>
      <c r="D17" s="22">
        <f>D8</f>
        <v>6.0000000000000005E-2</v>
      </c>
      <c r="E17" s="123"/>
      <c r="F17" s="119"/>
      <c r="G17" s="119"/>
      <c r="H17" s="119"/>
      <c r="I17" s="119"/>
    </row>
    <row r="18" spans="1:9" x14ac:dyDescent="0.25">
      <c r="A18" s="119"/>
      <c r="B18" s="36" t="str">
        <f>B9</f>
        <v>SETUP</v>
      </c>
      <c r="C18" s="119"/>
      <c r="D18" s="124">
        <f>D9</f>
        <v>2.6666666666666668E-2</v>
      </c>
      <c r="E18" s="123"/>
      <c r="F18" s="119"/>
      <c r="G18" s="119"/>
      <c r="H18" s="119"/>
      <c r="I18" s="119"/>
    </row>
    <row r="19" spans="1:9" ht="15.75" thickBot="1" x14ac:dyDescent="0.3">
      <c r="A19" s="119"/>
      <c r="B19" s="119"/>
      <c r="C19" s="119"/>
      <c r="D19" s="123"/>
      <c r="E19" s="123"/>
      <c r="F19" s="119"/>
      <c r="G19" s="119"/>
      <c r="H19" s="119"/>
      <c r="I19" s="119"/>
    </row>
    <row r="20" spans="1:9" ht="15.75" thickBot="1" x14ac:dyDescent="0.3">
      <c r="A20" s="104" t="s">
        <v>7</v>
      </c>
      <c r="B20" s="200" t="s">
        <v>50</v>
      </c>
      <c r="C20" s="201"/>
      <c r="D20" s="106" t="s">
        <v>22</v>
      </c>
      <c r="E20" s="105" t="s">
        <v>4</v>
      </c>
      <c r="F20" s="119"/>
      <c r="G20" s="119"/>
      <c r="H20" s="119"/>
      <c r="I20" s="119"/>
    </row>
    <row r="21" spans="1:9" x14ac:dyDescent="0.25">
      <c r="A21" s="119"/>
      <c r="B21" s="185" t="s">
        <v>2</v>
      </c>
      <c r="C21" s="116"/>
      <c r="D21" s="127">
        <f>TIME(, ,E21*28800)</f>
        <v>0.21666666666666667</v>
      </c>
      <c r="E21" s="128">
        <v>0.65</v>
      </c>
      <c r="F21" s="119"/>
      <c r="G21" s="119"/>
      <c r="H21" s="119"/>
      <c r="I21" s="119"/>
    </row>
    <row r="22" spans="1:9" x14ac:dyDescent="0.25">
      <c r="A22" s="119"/>
      <c r="B22" s="131" t="s">
        <v>0</v>
      </c>
      <c r="C22" s="118"/>
      <c r="D22" s="109">
        <f t="shared" ref="D22:D28" si="1">TIME(, ,E22*28800)</f>
        <v>4.6666666666666669E-2</v>
      </c>
      <c r="E22" s="110">
        <v>0.14000000000000001</v>
      </c>
      <c r="F22" s="119"/>
      <c r="G22" s="119"/>
      <c r="H22" s="119"/>
      <c r="I22" s="119"/>
    </row>
    <row r="23" spans="1:9" x14ac:dyDescent="0.25">
      <c r="A23" s="119"/>
      <c r="B23" s="208" t="s">
        <v>1</v>
      </c>
      <c r="C23" s="209"/>
      <c r="D23" s="111">
        <f>TIME(, ,E23*28800)</f>
        <v>3.0000000000000002E-2</v>
      </c>
      <c r="E23" s="112">
        <v>0.09</v>
      </c>
      <c r="F23" s="119"/>
      <c r="G23" s="119"/>
      <c r="H23" s="119"/>
      <c r="I23" s="119"/>
    </row>
    <row r="24" spans="1:9" x14ac:dyDescent="0.25">
      <c r="A24" s="119"/>
      <c r="B24" s="198" t="s">
        <v>11</v>
      </c>
      <c r="C24" s="199"/>
      <c r="D24" s="113">
        <f t="shared" si="1"/>
        <v>1.3333333333333334E-2</v>
      </c>
      <c r="E24" s="114">
        <v>0.04</v>
      </c>
      <c r="F24" s="119"/>
      <c r="G24" s="119"/>
      <c r="H24" s="119"/>
      <c r="I24" s="119"/>
    </row>
    <row r="25" spans="1:9" x14ac:dyDescent="0.25">
      <c r="A25" s="119"/>
      <c r="B25" s="198" t="s">
        <v>12</v>
      </c>
      <c r="C25" s="199"/>
      <c r="D25" s="113">
        <f t="shared" si="1"/>
        <v>1.6666666666666666E-2</v>
      </c>
      <c r="E25" s="114">
        <v>0.05</v>
      </c>
      <c r="F25" s="119"/>
      <c r="G25" s="119"/>
      <c r="H25" s="119"/>
      <c r="I25" s="119"/>
    </row>
    <row r="26" spans="1:9" x14ac:dyDescent="0.25">
      <c r="A26" s="119"/>
      <c r="B26" s="198" t="s">
        <v>14</v>
      </c>
      <c r="C26" s="199"/>
      <c r="D26" s="113">
        <f t="shared" si="1"/>
        <v>6.6666666666666671E-3</v>
      </c>
      <c r="E26" s="114">
        <v>0.02</v>
      </c>
      <c r="F26" s="119"/>
      <c r="G26" s="119"/>
      <c r="H26" s="119"/>
      <c r="I26" s="119"/>
    </row>
    <row r="27" spans="1:9" ht="15.75" thickBot="1" x14ac:dyDescent="0.3">
      <c r="A27" s="119"/>
      <c r="B27" s="194" t="s">
        <v>13</v>
      </c>
      <c r="C27" s="195"/>
      <c r="D27" s="113">
        <f t="shared" si="1"/>
        <v>3.3333333333333335E-3</v>
      </c>
      <c r="E27" s="114">
        <v>0.01</v>
      </c>
      <c r="F27" s="119"/>
      <c r="G27" s="119"/>
      <c r="H27" s="119"/>
      <c r="I27" s="119"/>
    </row>
    <row r="28" spans="1:9" ht="15.75" thickBot="1" x14ac:dyDescent="0.3">
      <c r="A28" s="119"/>
      <c r="B28" s="196" t="s">
        <v>3</v>
      </c>
      <c r="C28" s="197"/>
      <c r="D28" s="115">
        <f t="shared" si="1"/>
        <v>0.33333333333333331</v>
      </c>
      <c r="E28" s="101">
        <f>SUM(E21:E27)</f>
        <v>1</v>
      </c>
      <c r="F28" s="119"/>
      <c r="G28" s="119"/>
      <c r="H28" s="119"/>
      <c r="I28" s="119"/>
    </row>
    <row r="29" spans="1:9" ht="3" customHeight="1" x14ac:dyDescent="0.25">
      <c r="A29" s="119"/>
      <c r="B29" s="25" t="s">
        <v>16</v>
      </c>
      <c r="C29" s="25"/>
      <c r="D29" s="125">
        <f>SUM(D24:D27)</f>
        <v>0.04</v>
      </c>
      <c r="E29" s="123"/>
      <c r="F29" s="119"/>
      <c r="G29" s="119"/>
      <c r="H29" s="119"/>
      <c r="I29" s="119"/>
    </row>
    <row r="30" spans="1:9" ht="3" customHeight="1" x14ac:dyDescent="0.25">
      <c r="A30" s="119"/>
      <c r="B30" s="28" t="s">
        <v>2</v>
      </c>
      <c r="C30" s="28"/>
      <c r="D30" s="29">
        <f>D21</f>
        <v>0.21666666666666667</v>
      </c>
      <c r="E30" s="123"/>
      <c r="F30" s="119"/>
      <c r="G30" s="119"/>
      <c r="H30" s="119"/>
      <c r="I30" s="119"/>
    </row>
    <row r="31" spans="1:9" ht="3" customHeight="1" x14ac:dyDescent="0.25">
      <c r="A31" s="119"/>
      <c r="B31" s="79" t="s">
        <v>0</v>
      </c>
      <c r="C31" s="79"/>
      <c r="D31" s="126">
        <f>D22</f>
        <v>4.6666666666666669E-2</v>
      </c>
      <c r="E31" s="123"/>
      <c r="F31" s="119"/>
      <c r="G31" s="119"/>
      <c r="H31" s="119"/>
      <c r="I31" s="119"/>
    </row>
    <row r="32" spans="1:9" x14ac:dyDescent="0.25">
      <c r="A32" s="119"/>
      <c r="B32" s="36" t="str">
        <f>B23</f>
        <v>SETUP</v>
      </c>
      <c r="C32" s="119"/>
      <c r="D32" s="124">
        <f>D23</f>
        <v>3.0000000000000002E-2</v>
      </c>
      <c r="E32" s="123"/>
      <c r="F32" s="119"/>
      <c r="G32" s="119"/>
      <c r="H32" s="119"/>
      <c r="I32" s="119"/>
    </row>
    <row r="33" spans="1:9" ht="15.75" thickBot="1" x14ac:dyDescent="0.3">
      <c r="A33" s="119"/>
      <c r="B33" s="119"/>
      <c r="C33" s="119"/>
      <c r="D33" s="123"/>
      <c r="E33" s="123"/>
      <c r="F33" s="119"/>
      <c r="G33" s="119"/>
      <c r="H33" s="119"/>
      <c r="I33" s="119"/>
    </row>
    <row r="34" spans="1:9" ht="15.75" thickBot="1" x14ac:dyDescent="0.3">
      <c r="A34" s="104" t="s">
        <v>6</v>
      </c>
      <c r="B34" s="200" t="s">
        <v>50</v>
      </c>
      <c r="C34" s="201"/>
      <c r="D34" s="106" t="s">
        <v>22</v>
      </c>
      <c r="E34" s="105" t="s">
        <v>4</v>
      </c>
      <c r="F34" s="119"/>
      <c r="G34" s="119"/>
      <c r="H34" s="119"/>
      <c r="I34" s="119"/>
    </row>
    <row r="35" spans="1:9" x14ac:dyDescent="0.25">
      <c r="A35" s="119"/>
      <c r="B35" s="185" t="s">
        <v>2</v>
      </c>
      <c r="C35" s="116"/>
      <c r="D35" s="127">
        <f>TIME(, ,E35*28800)</f>
        <v>0.27999999999999997</v>
      </c>
      <c r="E35" s="128">
        <v>0.84</v>
      </c>
      <c r="F35" s="119"/>
      <c r="G35" s="119"/>
      <c r="H35" s="119"/>
      <c r="I35" s="119"/>
    </row>
    <row r="36" spans="1:9" x14ac:dyDescent="0.25">
      <c r="A36" s="119"/>
      <c r="B36" s="131" t="s">
        <v>0</v>
      </c>
      <c r="C36" s="118"/>
      <c r="D36" s="109">
        <f>TIME(, ,E36*28800)</f>
        <v>5.0393518518518511E-2</v>
      </c>
      <c r="E36" s="110">
        <f>1-E35-E39</f>
        <v>0.15120000000000003</v>
      </c>
      <c r="F36" s="119"/>
      <c r="G36" s="119"/>
      <c r="H36" s="119"/>
      <c r="I36" s="119"/>
    </row>
    <row r="37" spans="1:9" x14ac:dyDescent="0.25">
      <c r="A37" s="119"/>
      <c r="B37" s="208" t="s">
        <v>1</v>
      </c>
      <c r="C37" s="209"/>
      <c r="D37" s="111">
        <v>0</v>
      </c>
      <c r="E37" s="112">
        <v>0</v>
      </c>
      <c r="F37" s="119"/>
      <c r="G37" s="119"/>
      <c r="H37" s="119"/>
      <c r="I37" s="119"/>
    </row>
    <row r="38" spans="1:9" x14ac:dyDescent="0.25">
      <c r="A38" s="119"/>
      <c r="B38" s="198" t="s">
        <v>11</v>
      </c>
      <c r="C38" s="199"/>
      <c r="D38" s="113">
        <f t="shared" ref="D38:D42" si="2">TIME(, ,E38*28800)</f>
        <v>0</v>
      </c>
      <c r="E38" s="114">
        <v>0</v>
      </c>
      <c r="F38" s="119"/>
      <c r="G38" s="119"/>
      <c r="H38" s="119"/>
      <c r="I38" s="119"/>
    </row>
    <row r="39" spans="1:9" x14ac:dyDescent="0.25">
      <c r="A39" s="119"/>
      <c r="B39" s="198" t="s">
        <v>12</v>
      </c>
      <c r="C39" s="199"/>
      <c r="D39" s="113">
        <f t="shared" si="2"/>
        <v>2.9282407407407412E-3</v>
      </c>
      <c r="E39" s="114">
        <v>8.8000000000000005E-3</v>
      </c>
      <c r="F39" s="119"/>
      <c r="G39" s="119"/>
      <c r="H39" s="119"/>
      <c r="I39" s="119"/>
    </row>
    <row r="40" spans="1:9" x14ac:dyDescent="0.25">
      <c r="A40" s="119"/>
      <c r="B40" s="198" t="s">
        <v>14</v>
      </c>
      <c r="C40" s="199"/>
      <c r="D40" s="113">
        <f t="shared" si="2"/>
        <v>0</v>
      </c>
      <c r="E40" s="114">
        <v>0</v>
      </c>
      <c r="F40" s="119"/>
      <c r="G40" s="119"/>
      <c r="H40" s="119"/>
      <c r="I40" s="119"/>
    </row>
    <row r="41" spans="1:9" ht="15.75" thickBot="1" x14ac:dyDescent="0.3">
      <c r="A41" s="119"/>
      <c r="B41" s="194" t="s">
        <v>13</v>
      </c>
      <c r="C41" s="195"/>
      <c r="D41" s="113">
        <f t="shared" si="2"/>
        <v>0</v>
      </c>
      <c r="E41" s="114">
        <v>0</v>
      </c>
      <c r="F41" s="119"/>
      <c r="G41" s="119"/>
      <c r="H41" s="119"/>
      <c r="I41" s="119"/>
    </row>
    <row r="42" spans="1:9" ht="15.75" thickBot="1" x14ac:dyDescent="0.3">
      <c r="A42" s="119"/>
      <c r="B42" s="196" t="s">
        <v>3</v>
      </c>
      <c r="C42" s="197"/>
      <c r="D42" s="115">
        <f t="shared" si="2"/>
        <v>0.33333333333333331</v>
      </c>
      <c r="E42" s="101">
        <f>SUM(E35:E41)</f>
        <v>1</v>
      </c>
      <c r="F42" s="119"/>
      <c r="G42" s="119"/>
      <c r="H42" s="119"/>
      <c r="I42" s="119"/>
    </row>
    <row r="43" spans="1:9" x14ac:dyDescent="0.25">
      <c r="A43" s="119"/>
      <c r="B43" s="24" t="s">
        <v>16</v>
      </c>
      <c r="C43" s="24"/>
      <c r="D43" s="122">
        <f>SUM(D38:D41)</f>
        <v>2.9282407407407412E-3</v>
      </c>
      <c r="E43" s="119"/>
      <c r="F43" s="119"/>
      <c r="G43" s="119"/>
      <c r="H43" s="119"/>
      <c r="I43" s="119"/>
    </row>
    <row r="44" spans="1:9" ht="3" customHeight="1" x14ac:dyDescent="0.25">
      <c r="A44" s="119"/>
      <c r="B44" s="23" t="s">
        <v>2</v>
      </c>
      <c r="C44" s="23"/>
      <c r="D44" s="20">
        <f>D35</f>
        <v>0.27999999999999997</v>
      </c>
      <c r="E44" s="119"/>
      <c r="F44" s="119"/>
      <c r="G44" s="119"/>
      <c r="H44" s="119"/>
      <c r="I44" s="119"/>
    </row>
    <row r="45" spans="1:9" ht="3" customHeight="1" x14ac:dyDescent="0.25">
      <c r="A45" s="119"/>
      <c r="B45" s="21" t="s">
        <v>0</v>
      </c>
      <c r="C45" s="21"/>
      <c r="D45" s="22">
        <f>D36</f>
        <v>5.0393518518518511E-2</v>
      </c>
      <c r="E45" s="119"/>
      <c r="F45" s="119"/>
      <c r="G45" s="119"/>
      <c r="H45" s="119"/>
      <c r="I45" s="119"/>
    </row>
    <row r="46" spans="1:9" ht="3" customHeight="1" x14ac:dyDescent="0.25">
      <c r="A46" s="119"/>
      <c r="B46" s="36" t="str">
        <f>B37</f>
        <v>SETUP</v>
      </c>
      <c r="C46" s="36"/>
      <c r="D46" s="121">
        <f>D37</f>
        <v>0</v>
      </c>
      <c r="E46" s="119"/>
      <c r="F46" s="119"/>
      <c r="G46" s="119"/>
      <c r="H46" s="119"/>
      <c r="I46" s="119"/>
    </row>
    <row r="47" spans="1:9" x14ac:dyDescent="0.25">
      <c r="A47" s="66" t="s">
        <v>51</v>
      </c>
    </row>
    <row r="48" spans="1:9" x14ac:dyDescent="0.25">
      <c r="A48" s="134"/>
      <c r="B48" s="134"/>
      <c r="C48" s="134"/>
      <c r="D48" s="134"/>
      <c r="E48" s="134"/>
      <c r="F48" s="134"/>
      <c r="G48" s="134"/>
      <c r="H48" s="134"/>
      <c r="I48" s="134"/>
    </row>
    <row r="49" spans="1:9" x14ac:dyDescent="0.25">
      <c r="A49" s="134"/>
      <c r="B49" s="134"/>
      <c r="C49" s="134"/>
      <c r="D49" s="134"/>
      <c r="E49" s="134"/>
      <c r="F49" s="134"/>
      <c r="G49" s="134"/>
      <c r="H49" s="134"/>
      <c r="I49" s="134"/>
    </row>
    <row r="50" spans="1:9" x14ac:dyDescent="0.25">
      <c r="A50" s="134"/>
      <c r="B50" s="134"/>
      <c r="C50" s="134"/>
      <c r="D50" s="134"/>
      <c r="E50" s="134"/>
      <c r="F50" s="134"/>
      <c r="G50" s="134"/>
      <c r="H50" s="134"/>
      <c r="I50" s="134"/>
    </row>
  </sheetData>
  <mergeCells count="25">
    <mergeCell ref="G1:I1"/>
    <mergeCell ref="A2:C2"/>
    <mergeCell ref="E2:F2"/>
    <mergeCell ref="G2:I2"/>
    <mergeCell ref="B37:C37"/>
    <mergeCell ref="B10:C10"/>
    <mergeCell ref="B9:C9"/>
    <mergeCell ref="B11:C11"/>
    <mergeCell ref="B14:C14"/>
    <mergeCell ref="B23:C23"/>
    <mergeCell ref="B24:C24"/>
    <mergeCell ref="B25:C25"/>
    <mergeCell ref="B26:C26"/>
    <mergeCell ref="B6:C6"/>
    <mergeCell ref="B41:C41"/>
    <mergeCell ref="B42:C42"/>
    <mergeCell ref="B12:C12"/>
    <mergeCell ref="B13:C13"/>
    <mergeCell ref="B27:C27"/>
    <mergeCell ref="B28:C28"/>
    <mergeCell ref="B40:C40"/>
    <mergeCell ref="B38:C38"/>
    <mergeCell ref="B39:C39"/>
    <mergeCell ref="B20:C20"/>
    <mergeCell ref="B34:C34"/>
  </mergeCells>
  <pageMargins left="0.23622047244094491" right="0.23622047244094491" top="0.47244094488188981" bottom="0.39370078740157483" header="0.39370078740157483" footer="0"/>
  <pageSetup scale="9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50"/>
  <sheetViews>
    <sheetView topLeftCell="A4" zoomScaleNormal="100" zoomScalePageLayoutView="70" workbookViewId="0">
      <selection activeCell="K9" sqref="K9"/>
    </sheetView>
  </sheetViews>
  <sheetFormatPr defaultColWidth="10.28515625" defaultRowHeight="15" x14ac:dyDescent="0.25"/>
  <cols>
    <col min="1" max="1" width="14.85546875" customWidth="1"/>
    <col min="4" max="5" width="10.28515625" customWidth="1"/>
    <col min="6" max="6" width="16.5703125" customWidth="1"/>
    <col min="8" max="8" width="12" customWidth="1"/>
    <col min="9" max="9" width="4.85546875" customWidth="1"/>
  </cols>
  <sheetData>
    <row r="1" spans="1:9" ht="116.25" customHeight="1" thickBot="1" x14ac:dyDescent="0.6">
      <c r="A1" s="119"/>
      <c r="B1" s="119"/>
      <c r="C1" s="119"/>
      <c r="D1" s="119"/>
      <c r="E1" s="119"/>
      <c r="F1" s="119"/>
      <c r="G1" s="202" t="s">
        <v>10</v>
      </c>
      <c r="H1" s="202"/>
      <c r="I1" s="202"/>
    </row>
    <row r="2" spans="1:9" ht="30" customHeight="1" thickBot="1" x14ac:dyDescent="0.5">
      <c r="A2" s="203" t="s">
        <v>52</v>
      </c>
      <c r="B2" s="204"/>
      <c r="C2" s="204"/>
      <c r="D2" s="132"/>
      <c r="E2" s="205" t="s">
        <v>9</v>
      </c>
      <c r="F2" s="205"/>
      <c r="G2" s="206">
        <v>41428</v>
      </c>
      <c r="H2" s="205"/>
      <c r="I2" s="207"/>
    </row>
    <row r="3" spans="1:9" ht="6.75" customHeight="1" x14ac:dyDescent="0.45">
      <c r="A3" s="102"/>
      <c r="B3" s="103"/>
      <c r="C3" s="103"/>
      <c r="D3" s="103"/>
      <c r="E3" s="103"/>
      <c r="F3" s="103"/>
      <c r="G3" s="103"/>
      <c r="H3" s="103"/>
      <c r="I3" s="103"/>
    </row>
    <row r="4" spans="1:9" ht="6.75" customHeight="1" x14ac:dyDescent="0.25">
      <c r="A4" s="119"/>
      <c r="B4" s="119"/>
      <c r="C4" s="119"/>
      <c r="D4" s="119"/>
      <c r="E4" s="119"/>
      <c r="F4" s="119"/>
      <c r="G4" s="119"/>
      <c r="H4" s="119"/>
      <c r="I4" s="119"/>
    </row>
    <row r="5" spans="1:9" ht="6.75" customHeight="1" thickBot="1" x14ac:dyDescent="0.3">
      <c r="A5" s="119"/>
      <c r="B5" s="119"/>
      <c r="C5" s="119"/>
      <c r="D5" s="119"/>
      <c r="E5" s="119"/>
      <c r="F5" s="119"/>
      <c r="G5" s="119"/>
      <c r="H5" s="119"/>
      <c r="I5" s="119"/>
    </row>
    <row r="6" spans="1:9" ht="15.75" thickBot="1" x14ac:dyDescent="0.3">
      <c r="A6" s="104" t="s">
        <v>8</v>
      </c>
      <c r="B6" s="200" t="s">
        <v>50</v>
      </c>
      <c r="C6" s="201"/>
      <c r="D6" s="106" t="s">
        <v>22</v>
      </c>
      <c r="E6" s="105" t="s">
        <v>4</v>
      </c>
      <c r="F6" s="119"/>
      <c r="G6" s="119"/>
      <c r="H6" s="119"/>
      <c r="I6" s="119"/>
    </row>
    <row r="7" spans="1:9" x14ac:dyDescent="0.25">
      <c r="A7" s="119"/>
      <c r="B7" s="129" t="s">
        <v>2</v>
      </c>
      <c r="C7" s="120"/>
      <c r="D7" s="172">
        <f t="shared" ref="D7:D13" si="0">TIME(, ,E7*28800)</f>
        <v>0.13333333333333333</v>
      </c>
      <c r="E7" s="173">
        <v>0.4</v>
      </c>
      <c r="F7" s="119"/>
      <c r="G7" s="119"/>
      <c r="H7" s="119"/>
      <c r="I7" s="119"/>
    </row>
    <row r="8" spans="1:9" x14ac:dyDescent="0.25">
      <c r="A8" s="119"/>
      <c r="B8" s="131" t="s">
        <v>0</v>
      </c>
      <c r="C8" s="117"/>
      <c r="D8" s="109">
        <f t="shared" si="0"/>
        <v>8.9999999999999983E-2</v>
      </c>
      <c r="E8" s="110">
        <v>0.27</v>
      </c>
      <c r="F8" s="119"/>
      <c r="G8" s="119"/>
      <c r="H8" s="119"/>
      <c r="I8" s="119"/>
    </row>
    <row r="9" spans="1:9" x14ac:dyDescent="0.25">
      <c r="A9" s="119"/>
      <c r="B9" s="208" t="s">
        <v>1</v>
      </c>
      <c r="C9" s="210"/>
      <c r="D9" s="179">
        <f t="shared" si="0"/>
        <v>3.0000000000000002E-2</v>
      </c>
      <c r="E9" s="112">
        <v>0.09</v>
      </c>
      <c r="F9" s="119"/>
      <c r="G9" s="119"/>
      <c r="H9" s="119"/>
      <c r="I9" s="119"/>
    </row>
    <row r="10" spans="1:9" x14ac:dyDescent="0.25">
      <c r="A10" s="119"/>
      <c r="B10" s="198" t="s">
        <v>11</v>
      </c>
      <c r="C10" s="211"/>
      <c r="D10" s="180">
        <f t="shared" si="0"/>
        <v>3.6666666666666667E-2</v>
      </c>
      <c r="E10" s="176">
        <v>0.11</v>
      </c>
      <c r="F10" s="119"/>
      <c r="G10" s="119"/>
      <c r="H10" s="119"/>
      <c r="I10" s="119"/>
    </row>
    <row r="11" spans="1:9" x14ac:dyDescent="0.25">
      <c r="A11" s="119"/>
      <c r="B11" s="198" t="s">
        <v>12</v>
      </c>
      <c r="C11" s="211"/>
      <c r="D11" s="180">
        <f t="shared" si="0"/>
        <v>0</v>
      </c>
      <c r="E11" s="176">
        <v>0</v>
      </c>
      <c r="F11" s="119"/>
      <c r="G11" s="119"/>
      <c r="H11" s="119"/>
      <c r="I11" s="119"/>
    </row>
    <row r="12" spans="1:9" x14ac:dyDescent="0.25">
      <c r="A12" s="119"/>
      <c r="B12" s="198" t="s">
        <v>14</v>
      </c>
      <c r="C12" s="211"/>
      <c r="D12" s="180">
        <f t="shared" si="0"/>
        <v>3.3333333333333335E-3</v>
      </c>
      <c r="E12" s="176">
        <v>0.01</v>
      </c>
      <c r="F12" s="119"/>
      <c r="G12" s="119"/>
      <c r="H12" s="119"/>
      <c r="I12" s="119"/>
    </row>
    <row r="13" spans="1:9" ht="15.75" thickBot="1" x14ac:dyDescent="0.3">
      <c r="A13" s="119"/>
      <c r="B13" s="198" t="s">
        <v>13</v>
      </c>
      <c r="C13" s="211"/>
      <c r="D13" s="181">
        <f t="shared" si="0"/>
        <v>0.04</v>
      </c>
      <c r="E13" s="178">
        <v>0.12</v>
      </c>
      <c r="F13" s="119"/>
      <c r="G13" s="119"/>
      <c r="H13" s="119"/>
      <c r="I13" s="119"/>
    </row>
    <row r="14" spans="1:9" ht="15.75" thickBot="1" x14ac:dyDescent="0.3">
      <c r="A14" s="119"/>
      <c r="B14" s="196" t="s">
        <v>3</v>
      </c>
      <c r="C14" s="197"/>
      <c r="D14" s="115">
        <f t="shared" ref="D14" si="1">TIME(, ,E14*28800)</f>
        <v>0.33333333333333331</v>
      </c>
      <c r="E14" s="101">
        <f>SUM(E7:E13)</f>
        <v>1</v>
      </c>
      <c r="F14" s="119"/>
      <c r="G14" s="119"/>
      <c r="H14" s="119"/>
      <c r="I14" s="119"/>
    </row>
    <row r="15" spans="1:9" ht="3.75" customHeight="1" x14ac:dyDescent="0.25">
      <c r="A15" s="121">
        <f>D7+D21+D35</f>
        <v>0.39666666666666661</v>
      </c>
      <c r="B15" s="24" t="s">
        <v>16</v>
      </c>
      <c r="C15" s="24"/>
      <c r="D15" s="122">
        <f>SUM(D10:D13)</f>
        <v>0.08</v>
      </c>
      <c r="E15" s="123"/>
      <c r="F15" s="119"/>
      <c r="G15" s="119"/>
      <c r="H15" s="119"/>
      <c r="I15" s="119"/>
    </row>
    <row r="16" spans="1:9" ht="3.75" customHeight="1" x14ac:dyDescent="0.25">
      <c r="A16" s="36">
        <f>17*3600+40*60+48</f>
        <v>63648</v>
      </c>
      <c r="B16" s="23" t="s">
        <v>2</v>
      </c>
      <c r="C16" s="23"/>
      <c r="D16" s="20">
        <f>D7</f>
        <v>0.13333333333333333</v>
      </c>
      <c r="E16" s="123"/>
      <c r="F16" s="119"/>
      <c r="G16" s="119"/>
      <c r="H16" s="119"/>
      <c r="I16" s="119"/>
    </row>
    <row r="17" spans="1:9" ht="3.75" customHeight="1" x14ac:dyDescent="0.25">
      <c r="A17" s="36">
        <f>24*3600</f>
        <v>86400</v>
      </c>
      <c r="B17" s="21" t="s">
        <v>0</v>
      </c>
      <c r="C17" s="21"/>
      <c r="D17" s="22">
        <f>D8</f>
        <v>8.9999999999999983E-2</v>
      </c>
      <c r="E17" s="123"/>
      <c r="F17" s="119"/>
      <c r="G17" s="119"/>
      <c r="H17" s="119"/>
      <c r="I17" s="119"/>
    </row>
    <row r="18" spans="1:9" x14ac:dyDescent="0.25">
      <c r="A18" s="119"/>
      <c r="B18" s="36" t="str">
        <f>B9</f>
        <v>SETUP</v>
      </c>
      <c r="C18" s="119"/>
      <c r="D18" s="124">
        <f>D9</f>
        <v>3.0000000000000002E-2</v>
      </c>
      <c r="E18" s="123"/>
      <c r="F18" s="119"/>
      <c r="G18" s="119"/>
      <c r="H18" s="119"/>
      <c r="I18" s="119"/>
    </row>
    <row r="19" spans="1:9" ht="15.75" thickBot="1" x14ac:dyDescent="0.3">
      <c r="A19" s="119"/>
      <c r="B19" s="119"/>
      <c r="C19" s="119"/>
      <c r="D19" s="123"/>
      <c r="E19" s="123"/>
      <c r="F19" s="119"/>
      <c r="G19" s="119"/>
      <c r="H19" s="119"/>
      <c r="I19" s="119"/>
    </row>
    <row r="20" spans="1:9" ht="15.75" thickBot="1" x14ac:dyDescent="0.3">
      <c r="A20" s="104" t="s">
        <v>7</v>
      </c>
      <c r="B20" s="200" t="s">
        <v>50</v>
      </c>
      <c r="C20" s="201"/>
      <c r="D20" s="106" t="s">
        <v>22</v>
      </c>
      <c r="E20" s="105" t="s">
        <v>4</v>
      </c>
      <c r="F20" s="119"/>
      <c r="G20" s="119"/>
      <c r="H20" s="119"/>
      <c r="I20" s="119"/>
    </row>
    <row r="21" spans="1:9" x14ac:dyDescent="0.25">
      <c r="A21" s="119"/>
      <c r="B21" s="129" t="s">
        <v>2</v>
      </c>
      <c r="C21" s="120"/>
      <c r="D21" s="172">
        <f>TIME(, ,E21*28800)</f>
        <v>0</v>
      </c>
      <c r="E21" s="173">
        <v>0</v>
      </c>
      <c r="F21" s="119"/>
      <c r="G21" s="119"/>
      <c r="H21" s="119"/>
      <c r="I21" s="119"/>
    </row>
    <row r="22" spans="1:9" x14ac:dyDescent="0.25">
      <c r="A22" s="119"/>
      <c r="B22" s="131" t="s">
        <v>0</v>
      </c>
      <c r="C22" s="117"/>
      <c r="D22" s="182">
        <f t="shared" ref="D22:D27" si="2">TIME(, ,E22*28800)</f>
        <v>2.6666666666666668E-2</v>
      </c>
      <c r="E22" s="110">
        <v>0.08</v>
      </c>
      <c r="F22" s="119"/>
      <c r="G22" s="119"/>
      <c r="H22" s="119"/>
      <c r="I22" s="119"/>
    </row>
    <row r="23" spans="1:9" x14ac:dyDescent="0.25">
      <c r="A23" s="119"/>
      <c r="B23" s="208" t="s">
        <v>1</v>
      </c>
      <c r="C23" s="210"/>
      <c r="D23" s="111">
        <f t="shared" si="2"/>
        <v>0</v>
      </c>
      <c r="E23" s="112">
        <v>0</v>
      </c>
      <c r="F23" s="119"/>
      <c r="G23" s="119"/>
      <c r="H23" s="119"/>
      <c r="I23" s="119"/>
    </row>
    <row r="24" spans="1:9" x14ac:dyDescent="0.25">
      <c r="A24" s="119"/>
      <c r="B24" s="198" t="s">
        <v>11</v>
      </c>
      <c r="C24" s="211"/>
      <c r="D24" s="113">
        <f t="shared" si="2"/>
        <v>0.3066666666666667</v>
      </c>
      <c r="E24" s="176">
        <v>0.92</v>
      </c>
      <c r="F24" s="119"/>
      <c r="G24" s="119"/>
      <c r="H24" s="119"/>
      <c r="I24" s="119"/>
    </row>
    <row r="25" spans="1:9" x14ac:dyDescent="0.25">
      <c r="A25" s="119"/>
      <c r="B25" s="198" t="s">
        <v>12</v>
      </c>
      <c r="C25" s="211"/>
      <c r="D25" s="113">
        <f t="shared" si="2"/>
        <v>0</v>
      </c>
      <c r="E25" s="176">
        <v>0</v>
      </c>
      <c r="F25" s="119"/>
      <c r="G25" s="119"/>
      <c r="H25" s="119"/>
      <c r="I25" s="119"/>
    </row>
    <row r="26" spans="1:9" x14ac:dyDescent="0.25">
      <c r="A26" s="119"/>
      <c r="B26" s="198" t="s">
        <v>14</v>
      </c>
      <c r="C26" s="211"/>
      <c r="D26" s="113">
        <f t="shared" si="2"/>
        <v>0</v>
      </c>
      <c r="E26" s="176">
        <v>0</v>
      </c>
      <c r="F26" s="119"/>
      <c r="G26" s="119"/>
      <c r="H26" s="119"/>
      <c r="I26" s="119"/>
    </row>
    <row r="27" spans="1:9" ht="15.75" thickBot="1" x14ac:dyDescent="0.3">
      <c r="A27" s="119"/>
      <c r="B27" s="198" t="s">
        <v>13</v>
      </c>
      <c r="C27" s="211"/>
      <c r="D27" s="183">
        <f t="shared" si="2"/>
        <v>0</v>
      </c>
      <c r="E27" s="178">
        <v>0</v>
      </c>
      <c r="F27" s="119"/>
      <c r="G27" s="119"/>
      <c r="H27" s="119"/>
      <c r="I27" s="119"/>
    </row>
    <row r="28" spans="1:9" ht="15.75" thickBot="1" x14ac:dyDescent="0.3">
      <c r="A28" s="119"/>
      <c r="B28" s="196" t="s">
        <v>3</v>
      </c>
      <c r="C28" s="197"/>
      <c r="D28" s="115">
        <f t="shared" ref="D28" si="3">TIME(, ,E28*28800)</f>
        <v>0.33333333333333331</v>
      </c>
      <c r="E28" s="101">
        <f>SUM(E21:E27)</f>
        <v>1</v>
      </c>
      <c r="F28" s="119"/>
      <c r="G28" s="119"/>
      <c r="H28" s="119"/>
      <c r="I28" s="119"/>
    </row>
    <row r="29" spans="1:9" ht="3" customHeight="1" x14ac:dyDescent="0.25">
      <c r="A29" s="119"/>
      <c r="B29" s="25" t="s">
        <v>16</v>
      </c>
      <c r="C29" s="25"/>
      <c r="D29" s="125">
        <f>SUM(D24:D27)</f>
        <v>0.3066666666666667</v>
      </c>
      <c r="E29" s="123"/>
      <c r="F29" s="119"/>
      <c r="G29" s="119"/>
      <c r="H29" s="119"/>
      <c r="I29" s="119"/>
    </row>
    <row r="30" spans="1:9" ht="3" customHeight="1" x14ac:dyDescent="0.25">
      <c r="A30" s="119"/>
      <c r="B30" s="28" t="s">
        <v>2</v>
      </c>
      <c r="C30" s="28"/>
      <c r="D30" s="29">
        <f>D21</f>
        <v>0</v>
      </c>
      <c r="E30" s="123"/>
      <c r="F30" s="119"/>
      <c r="G30" s="119"/>
      <c r="H30" s="119"/>
      <c r="I30" s="119"/>
    </row>
    <row r="31" spans="1:9" ht="3" customHeight="1" x14ac:dyDescent="0.25">
      <c r="A31" s="119"/>
      <c r="B31" s="79" t="s">
        <v>0</v>
      </c>
      <c r="C31" s="79"/>
      <c r="D31" s="126">
        <f>D22</f>
        <v>2.6666666666666668E-2</v>
      </c>
      <c r="E31" s="123"/>
      <c r="F31" s="119"/>
      <c r="G31" s="119"/>
      <c r="H31" s="119"/>
      <c r="I31" s="119"/>
    </row>
    <row r="32" spans="1:9" x14ac:dyDescent="0.25">
      <c r="A32" s="119"/>
      <c r="B32" s="36" t="str">
        <f>B23</f>
        <v>SETUP</v>
      </c>
      <c r="C32" s="119"/>
      <c r="D32" s="124">
        <f>D23</f>
        <v>0</v>
      </c>
      <c r="E32" s="123"/>
      <c r="F32" s="119"/>
      <c r="G32" s="119"/>
      <c r="H32" s="119"/>
      <c r="I32" s="119"/>
    </row>
    <row r="33" spans="1:9" ht="15.75" thickBot="1" x14ac:dyDescent="0.3">
      <c r="A33" s="119"/>
      <c r="B33" s="119"/>
      <c r="C33" s="119"/>
      <c r="D33" s="123"/>
      <c r="E33" s="123"/>
      <c r="F33" s="119"/>
      <c r="G33" s="119"/>
      <c r="H33" s="119"/>
      <c r="I33" s="119"/>
    </row>
    <row r="34" spans="1:9" ht="15.75" thickBot="1" x14ac:dyDescent="0.3">
      <c r="A34" s="104" t="s">
        <v>6</v>
      </c>
      <c r="B34" s="200" t="s">
        <v>50</v>
      </c>
      <c r="C34" s="201"/>
      <c r="D34" s="106" t="s">
        <v>22</v>
      </c>
      <c r="E34" s="105" t="s">
        <v>4</v>
      </c>
      <c r="F34" s="119"/>
      <c r="G34" s="119"/>
      <c r="H34" s="119"/>
      <c r="I34" s="119"/>
    </row>
    <row r="35" spans="1:9" x14ac:dyDescent="0.25">
      <c r="A35" s="119"/>
      <c r="B35" s="129" t="s">
        <v>2</v>
      </c>
      <c r="C35" s="120"/>
      <c r="D35" s="172">
        <f>TIME(, ,E35*28800)</f>
        <v>0.26333333333333331</v>
      </c>
      <c r="E35" s="173">
        <v>0.79</v>
      </c>
      <c r="F35" s="119"/>
      <c r="G35" s="119"/>
      <c r="H35" s="119"/>
      <c r="I35" s="119"/>
    </row>
    <row r="36" spans="1:9" x14ac:dyDescent="0.25">
      <c r="A36" s="119"/>
      <c r="B36" s="131" t="s">
        <v>0</v>
      </c>
      <c r="C36" s="117"/>
      <c r="D36" s="182">
        <f t="shared" ref="D36:D41" si="4">TIME(, ,E36*28800)</f>
        <v>3.0000000000000002E-2</v>
      </c>
      <c r="E36" s="110">
        <v>0.09</v>
      </c>
      <c r="F36" s="119"/>
      <c r="G36" s="119"/>
      <c r="H36" s="119"/>
      <c r="I36" s="119"/>
    </row>
    <row r="37" spans="1:9" x14ac:dyDescent="0.25">
      <c r="A37" s="119"/>
      <c r="B37" s="208" t="s">
        <v>1</v>
      </c>
      <c r="C37" s="210"/>
      <c r="D37" s="111">
        <f t="shared" si="4"/>
        <v>3.0000000000000002E-2</v>
      </c>
      <c r="E37" s="112">
        <v>0.09</v>
      </c>
      <c r="F37" s="119"/>
      <c r="G37" s="119"/>
      <c r="H37" s="119"/>
      <c r="I37" s="119"/>
    </row>
    <row r="38" spans="1:9" x14ac:dyDescent="0.25">
      <c r="A38" s="119"/>
      <c r="B38" s="198" t="s">
        <v>11</v>
      </c>
      <c r="C38" s="211"/>
      <c r="D38" s="113">
        <f t="shared" si="4"/>
        <v>0</v>
      </c>
      <c r="E38" s="176">
        <v>0</v>
      </c>
      <c r="F38" s="119"/>
      <c r="G38" s="119"/>
      <c r="H38" s="119"/>
      <c r="I38" s="119"/>
    </row>
    <row r="39" spans="1:9" x14ac:dyDescent="0.25">
      <c r="A39" s="119"/>
      <c r="B39" s="198" t="s">
        <v>12</v>
      </c>
      <c r="C39" s="211"/>
      <c r="D39" s="113">
        <f t="shared" si="4"/>
        <v>0.01</v>
      </c>
      <c r="E39" s="176">
        <v>0.03</v>
      </c>
      <c r="F39" s="119"/>
      <c r="G39" s="119"/>
      <c r="H39" s="119"/>
      <c r="I39" s="119"/>
    </row>
    <row r="40" spans="1:9" x14ac:dyDescent="0.25">
      <c r="A40" s="119"/>
      <c r="B40" s="198" t="s">
        <v>14</v>
      </c>
      <c r="C40" s="211"/>
      <c r="D40" s="113">
        <f t="shared" si="4"/>
        <v>0</v>
      </c>
      <c r="E40" s="176">
        <v>0</v>
      </c>
      <c r="F40" s="119"/>
      <c r="G40" s="119"/>
      <c r="H40" s="119"/>
      <c r="I40" s="119"/>
    </row>
    <row r="41" spans="1:9" ht="15.75" thickBot="1" x14ac:dyDescent="0.3">
      <c r="A41" s="119"/>
      <c r="B41" s="198" t="s">
        <v>13</v>
      </c>
      <c r="C41" s="211"/>
      <c r="D41" s="183">
        <f t="shared" si="4"/>
        <v>0</v>
      </c>
      <c r="E41" s="178">
        <v>0</v>
      </c>
      <c r="F41" s="119"/>
      <c r="G41" s="119"/>
      <c r="H41" s="119"/>
      <c r="I41" s="119"/>
    </row>
    <row r="42" spans="1:9" ht="15.75" thickBot="1" x14ac:dyDescent="0.3">
      <c r="A42" s="119"/>
      <c r="B42" s="196" t="s">
        <v>3</v>
      </c>
      <c r="C42" s="197"/>
      <c r="D42" s="115">
        <f t="shared" ref="D42" si="5">TIME(, ,E42*28800)</f>
        <v>0.33333333333333331</v>
      </c>
      <c r="E42" s="101">
        <f>SUM(E35:E41)</f>
        <v>1</v>
      </c>
      <c r="F42" s="119"/>
      <c r="G42" s="119"/>
      <c r="H42" s="119"/>
      <c r="I42" s="119"/>
    </row>
    <row r="43" spans="1:9" x14ac:dyDescent="0.25">
      <c r="A43" s="119"/>
      <c r="B43" s="24" t="s">
        <v>16</v>
      </c>
      <c r="C43" s="24"/>
      <c r="D43" s="122">
        <f>SUM(D38:D41)</f>
        <v>0.01</v>
      </c>
      <c r="E43" s="119"/>
      <c r="F43" s="119"/>
      <c r="G43" s="119"/>
      <c r="H43" s="119"/>
      <c r="I43" s="119"/>
    </row>
    <row r="44" spans="1:9" ht="3" customHeight="1" x14ac:dyDescent="0.25">
      <c r="A44" s="119"/>
      <c r="B44" s="23" t="s">
        <v>2</v>
      </c>
      <c r="C44" s="23"/>
      <c r="D44" s="20">
        <f>D35</f>
        <v>0.26333333333333331</v>
      </c>
      <c r="E44" s="119"/>
      <c r="F44" s="119"/>
      <c r="G44" s="119"/>
      <c r="H44" s="119"/>
      <c r="I44" s="119"/>
    </row>
    <row r="45" spans="1:9" ht="3" customHeight="1" x14ac:dyDescent="0.25">
      <c r="A45" s="119"/>
      <c r="B45" s="21" t="s">
        <v>0</v>
      </c>
      <c r="C45" s="21"/>
      <c r="D45" s="22">
        <f>D36</f>
        <v>3.0000000000000002E-2</v>
      </c>
      <c r="E45" s="119"/>
      <c r="F45" s="119"/>
      <c r="G45" s="119"/>
      <c r="H45" s="119"/>
      <c r="I45" s="119"/>
    </row>
    <row r="46" spans="1:9" ht="3" customHeight="1" x14ac:dyDescent="0.25">
      <c r="A46" s="119"/>
      <c r="B46" s="36" t="str">
        <f>B37</f>
        <v>SETUP</v>
      </c>
      <c r="C46" s="36"/>
      <c r="D46" s="121">
        <f>D37</f>
        <v>3.0000000000000002E-2</v>
      </c>
      <c r="E46" s="119"/>
      <c r="F46" s="119"/>
      <c r="G46" s="119"/>
      <c r="H46" s="119"/>
      <c r="I46" s="119"/>
    </row>
    <row r="47" spans="1:9" x14ac:dyDescent="0.25">
      <c r="A47" s="66" t="s">
        <v>51</v>
      </c>
    </row>
    <row r="48" spans="1:9" x14ac:dyDescent="0.25">
      <c r="A48" s="134"/>
      <c r="B48" s="134"/>
      <c r="C48" s="134"/>
      <c r="D48" s="134"/>
      <c r="E48" s="134"/>
      <c r="F48" s="134"/>
      <c r="G48" s="134"/>
      <c r="H48" s="134"/>
      <c r="I48" s="134"/>
    </row>
    <row r="49" spans="1:9" x14ac:dyDescent="0.25">
      <c r="A49" s="134"/>
      <c r="B49" s="134"/>
      <c r="C49" s="134"/>
      <c r="D49" s="134"/>
      <c r="E49" s="134"/>
      <c r="F49" s="134"/>
      <c r="G49" s="134"/>
      <c r="H49" s="134"/>
      <c r="I49" s="134"/>
    </row>
    <row r="50" spans="1:9" x14ac:dyDescent="0.25">
      <c r="A50" s="134"/>
      <c r="B50" s="134"/>
      <c r="C50" s="134"/>
      <c r="D50" s="134"/>
      <c r="E50" s="134"/>
      <c r="F50" s="134"/>
      <c r="G50" s="134"/>
      <c r="H50" s="134"/>
      <c r="I50" s="134"/>
    </row>
  </sheetData>
  <mergeCells count="25">
    <mergeCell ref="B42:C42"/>
    <mergeCell ref="B34:C34"/>
    <mergeCell ref="B37:C37"/>
    <mergeCell ref="B38:C38"/>
    <mergeCell ref="B39:C39"/>
    <mergeCell ref="B40:C40"/>
    <mergeCell ref="B41:C41"/>
    <mergeCell ref="B28:C28"/>
    <mergeCell ref="B10:C10"/>
    <mergeCell ref="B11:C11"/>
    <mergeCell ref="B12:C12"/>
    <mergeCell ref="B13:C13"/>
    <mergeCell ref="B14:C14"/>
    <mergeCell ref="B20:C20"/>
    <mergeCell ref="B23:C23"/>
    <mergeCell ref="B24:C24"/>
    <mergeCell ref="B25:C25"/>
    <mergeCell ref="B26:C26"/>
    <mergeCell ref="B27:C27"/>
    <mergeCell ref="B9:C9"/>
    <mergeCell ref="G1:I1"/>
    <mergeCell ref="A2:C2"/>
    <mergeCell ref="E2:F2"/>
    <mergeCell ref="G2:I2"/>
    <mergeCell ref="B6:C6"/>
  </mergeCells>
  <pageMargins left="0.23622047244094491" right="0.23622047244094491" top="0.47244094488188981" bottom="0.39370078740157483" header="0.39370078740157483" footer="0"/>
  <pageSetup scale="9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50"/>
  <sheetViews>
    <sheetView topLeftCell="A5" zoomScaleNormal="100" zoomScalePageLayoutView="70" workbookViewId="0">
      <selection activeCell="K9" sqref="K9"/>
    </sheetView>
  </sheetViews>
  <sheetFormatPr defaultColWidth="10.28515625" defaultRowHeight="15" x14ac:dyDescent="0.25"/>
  <cols>
    <col min="1" max="1" width="14.85546875" customWidth="1"/>
    <col min="4" max="5" width="10.28515625" customWidth="1"/>
    <col min="6" max="6" width="16.5703125" customWidth="1"/>
    <col min="8" max="8" width="12" customWidth="1"/>
    <col min="9" max="9" width="4.85546875" customWidth="1"/>
  </cols>
  <sheetData>
    <row r="1" spans="1:9" ht="116.25" customHeight="1" thickBot="1" x14ac:dyDescent="0.6">
      <c r="A1" s="119"/>
      <c r="B1" s="119"/>
      <c r="C1" s="119"/>
      <c r="D1" s="119"/>
      <c r="E1" s="119"/>
      <c r="F1" s="119"/>
      <c r="G1" s="202" t="s">
        <v>10</v>
      </c>
      <c r="H1" s="202"/>
      <c r="I1" s="202"/>
    </row>
    <row r="2" spans="1:9" ht="30" customHeight="1" thickBot="1" x14ac:dyDescent="0.5">
      <c r="A2" s="203" t="s">
        <v>53</v>
      </c>
      <c r="B2" s="204"/>
      <c r="C2" s="204"/>
      <c r="D2" s="132"/>
      <c r="E2" s="205" t="s">
        <v>9</v>
      </c>
      <c r="F2" s="205"/>
      <c r="G2" s="206">
        <v>41428</v>
      </c>
      <c r="H2" s="205"/>
      <c r="I2" s="207"/>
    </row>
    <row r="3" spans="1:9" ht="6.75" customHeight="1" x14ac:dyDescent="0.45">
      <c r="A3" s="102"/>
      <c r="B3" s="103"/>
      <c r="C3" s="103"/>
      <c r="D3" s="103"/>
      <c r="E3" s="103"/>
      <c r="F3" s="103"/>
      <c r="G3" s="103"/>
      <c r="H3" s="103"/>
      <c r="I3" s="103"/>
    </row>
    <row r="4" spans="1:9" ht="6.75" customHeight="1" x14ac:dyDescent="0.25">
      <c r="A4" s="119"/>
      <c r="B4" s="119"/>
      <c r="C4" s="119"/>
      <c r="D4" s="119"/>
      <c r="E4" s="119"/>
      <c r="F4" s="119"/>
      <c r="G4" s="119"/>
      <c r="H4" s="119"/>
      <c r="I4" s="119"/>
    </row>
    <row r="5" spans="1:9" ht="6.75" customHeight="1" thickBot="1" x14ac:dyDescent="0.3">
      <c r="A5" s="119"/>
      <c r="B5" s="119"/>
      <c r="C5" s="119"/>
      <c r="D5" s="119"/>
      <c r="E5" s="119"/>
      <c r="F5" s="119"/>
      <c r="G5" s="119"/>
      <c r="H5" s="119"/>
      <c r="I5" s="119"/>
    </row>
    <row r="6" spans="1:9" ht="15.75" thickBot="1" x14ac:dyDescent="0.3">
      <c r="A6" s="104" t="s">
        <v>8</v>
      </c>
      <c r="B6" s="200" t="s">
        <v>50</v>
      </c>
      <c r="C6" s="201"/>
      <c r="D6" s="106" t="s">
        <v>22</v>
      </c>
      <c r="E6" s="105" t="s">
        <v>4</v>
      </c>
      <c r="F6" s="119"/>
      <c r="G6" s="119"/>
      <c r="H6" s="119"/>
      <c r="I6" s="119"/>
    </row>
    <row r="7" spans="1:9" x14ac:dyDescent="0.25">
      <c r="A7" s="119"/>
      <c r="B7" s="129" t="s">
        <v>2</v>
      </c>
      <c r="C7" s="120"/>
      <c r="D7" s="172">
        <f t="shared" ref="D7:D13" si="0">TIME(, ,E7*28800)</f>
        <v>0.21333333333333335</v>
      </c>
      <c r="E7" s="173">
        <v>0.64</v>
      </c>
      <c r="F7" s="119"/>
      <c r="G7" s="119"/>
      <c r="H7" s="119"/>
      <c r="I7" s="119"/>
    </row>
    <row r="8" spans="1:9" x14ac:dyDescent="0.25">
      <c r="A8" s="119"/>
      <c r="B8" s="131" t="s">
        <v>0</v>
      </c>
      <c r="C8" s="117"/>
      <c r="D8" s="109">
        <f t="shared" si="0"/>
        <v>4.9999999999999996E-2</v>
      </c>
      <c r="E8" s="110">
        <v>0.15</v>
      </c>
      <c r="F8" s="119"/>
      <c r="G8" s="119"/>
      <c r="H8" s="119"/>
      <c r="I8" s="119"/>
    </row>
    <row r="9" spans="1:9" x14ac:dyDescent="0.25">
      <c r="A9" s="119"/>
      <c r="B9" s="208" t="s">
        <v>1</v>
      </c>
      <c r="C9" s="210"/>
      <c r="D9" s="174">
        <f t="shared" si="0"/>
        <v>4.6666666666666669E-2</v>
      </c>
      <c r="E9" s="112">
        <v>0.14000000000000001</v>
      </c>
      <c r="F9" s="119"/>
      <c r="G9" s="119"/>
      <c r="H9" s="119"/>
      <c r="I9" s="119"/>
    </row>
    <row r="10" spans="1:9" x14ac:dyDescent="0.25">
      <c r="A10" s="119"/>
      <c r="B10" s="198" t="s">
        <v>11</v>
      </c>
      <c r="C10" s="211"/>
      <c r="D10" s="175">
        <f t="shared" si="0"/>
        <v>0.02</v>
      </c>
      <c r="E10" s="176">
        <v>0.06</v>
      </c>
      <c r="F10" s="119"/>
      <c r="G10" s="119"/>
      <c r="H10" s="119"/>
      <c r="I10" s="119"/>
    </row>
    <row r="11" spans="1:9" x14ac:dyDescent="0.25">
      <c r="A11" s="119"/>
      <c r="B11" s="198" t="s">
        <v>12</v>
      </c>
      <c r="C11" s="211"/>
      <c r="D11" s="175">
        <f t="shared" si="0"/>
        <v>0</v>
      </c>
      <c r="E11" s="176">
        <v>0</v>
      </c>
      <c r="F11" s="119"/>
      <c r="G11" s="119"/>
      <c r="H11" s="119"/>
      <c r="I11" s="119"/>
    </row>
    <row r="12" spans="1:9" x14ac:dyDescent="0.25">
      <c r="A12" s="119"/>
      <c r="B12" s="198" t="s">
        <v>14</v>
      </c>
      <c r="C12" s="211"/>
      <c r="D12" s="175">
        <f t="shared" si="0"/>
        <v>3.3333333333333335E-3</v>
      </c>
      <c r="E12" s="176">
        <v>0.01</v>
      </c>
      <c r="F12" s="119"/>
      <c r="G12" s="119"/>
      <c r="H12" s="119"/>
      <c r="I12" s="119"/>
    </row>
    <row r="13" spans="1:9" ht="15.75" thickBot="1" x14ac:dyDescent="0.3">
      <c r="A13" s="119"/>
      <c r="B13" s="198" t="s">
        <v>13</v>
      </c>
      <c r="C13" s="211"/>
      <c r="D13" s="177">
        <f t="shared" si="0"/>
        <v>0</v>
      </c>
      <c r="E13" s="178">
        <v>0</v>
      </c>
      <c r="F13" s="119"/>
      <c r="G13" s="119"/>
      <c r="H13" s="119"/>
      <c r="I13" s="119"/>
    </row>
    <row r="14" spans="1:9" ht="15.75" thickBot="1" x14ac:dyDescent="0.3">
      <c r="A14" s="119"/>
      <c r="B14" s="196" t="s">
        <v>3</v>
      </c>
      <c r="C14" s="197"/>
      <c r="D14" s="115">
        <f t="shared" ref="D14" si="1">TIME(, ,E14*28800)</f>
        <v>0.33333333333333331</v>
      </c>
      <c r="E14" s="101">
        <f>SUM(E7:E13)</f>
        <v>1</v>
      </c>
      <c r="F14" s="119"/>
      <c r="G14" s="119"/>
      <c r="H14" s="119"/>
      <c r="I14" s="119"/>
    </row>
    <row r="15" spans="1:9" ht="3.75" customHeight="1" x14ac:dyDescent="0.25">
      <c r="A15" s="121">
        <f>D7+D21+D35</f>
        <v>0.66666666666666663</v>
      </c>
      <c r="B15" s="24" t="s">
        <v>16</v>
      </c>
      <c r="C15" s="24"/>
      <c r="D15" s="122">
        <f>SUM(D10:D13)</f>
        <v>2.3333333333333334E-2</v>
      </c>
      <c r="E15" s="123"/>
      <c r="F15" s="119"/>
      <c r="G15" s="119"/>
      <c r="H15" s="119"/>
      <c r="I15" s="119"/>
    </row>
    <row r="16" spans="1:9" ht="3.75" customHeight="1" x14ac:dyDescent="0.25">
      <c r="A16" s="36">
        <f>17*3600+40*60+48</f>
        <v>63648</v>
      </c>
      <c r="B16" s="23" t="s">
        <v>2</v>
      </c>
      <c r="C16" s="23"/>
      <c r="D16" s="20">
        <f>D7</f>
        <v>0.21333333333333335</v>
      </c>
      <c r="E16" s="123"/>
      <c r="F16" s="119"/>
      <c r="G16" s="119"/>
      <c r="H16" s="119"/>
      <c r="I16" s="119"/>
    </row>
    <row r="17" spans="1:9" ht="3.75" customHeight="1" x14ac:dyDescent="0.25">
      <c r="A17" s="36">
        <f>24*3600</f>
        <v>86400</v>
      </c>
      <c r="B17" s="21" t="s">
        <v>0</v>
      </c>
      <c r="C17" s="21"/>
      <c r="D17" s="22">
        <f>D8</f>
        <v>4.9999999999999996E-2</v>
      </c>
      <c r="E17" s="123"/>
      <c r="F17" s="119"/>
      <c r="G17" s="119"/>
      <c r="H17" s="119"/>
      <c r="I17" s="119"/>
    </row>
    <row r="18" spans="1:9" x14ac:dyDescent="0.25">
      <c r="A18" s="119"/>
      <c r="B18" s="36" t="str">
        <f>B9</f>
        <v>SETUP</v>
      </c>
      <c r="C18" s="119"/>
      <c r="D18" s="124">
        <f>D9</f>
        <v>4.6666666666666669E-2</v>
      </c>
      <c r="E18" s="123"/>
      <c r="F18" s="119"/>
      <c r="G18" s="119"/>
      <c r="H18" s="119"/>
      <c r="I18" s="119"/>
    </row>
    <row r="19" spans="1:9" ht="15.75" thickBot="1" x14ac:dyDescent="0.3">
      <c r="A19" s="119"/>
      <c r="B19" s="119"/>
      <c r="C19" s="119"/>
      <c r="D19" s="123"/>
      <c r="E19" s="123"/>
      <c r="F19" s="119"/>
      <c r="G19" s="119"/>
      <c r="H19" s="119"/>
      <c r="I19" s="119"/>
    </row>
    <row r="20" spans="1:9" ht="15.75" thickBot="1" x14ac:dyDescent="0.3">
      <c r="A20" s="104" t="s">
        <v>7</v>
      </c>
      <c r="B20" s="200" t="s">
        <v>50</v>
      </c>
      <c r="C20" s="201"/>
      <c r="D20" s="106" t="s">
        <v>22</v>
      </c>
      <c r="E20" s="105" t="s">
        <v>4</v>
      </c>
      <c r="F20" s="119"/>
      <c r="G20" s="119"/>
      <c r="H20" s="119"/>
      <c r="I20" s="119"/>
    </row>
    <row r="21" spans="1:9" x14ac:dyDescent="0.25">
      <c r="A21" s="119"/>
      <c r="B21" s="129" t="s">
        <v>2</v>
      </c>
      <c r="C21" s="130"/>
      <c r="D21" s="172">
        <f t="shared" ref="D21:D27" si="2">TIME(, ,E21*28800)</f>
        <v>0.19333333333333333</v>
      </c>
      <c r="E21" s="173">
        <v>0.57999999999999996</v>
      </c>
      <c r="F21" s="119"/>
      <c r="G21" s="119"/>
      <c r="H21" s="119"/>
      <c r="I21" s="119"/>
    </row>
    <row r="22" spans="1:9" x14ac:dyDescent="0.25">
      <c r="A22" s="119"/>
      <c r="B22" s="131" t="s">
        <v>0</v>
      </c>
      <c r="C22" s="118"/>
      <c r="D22" s="109">
        <f t="shared" si="2"/>
        <v>6.6666666666666666E-2</v>
      </c>
      <c r="E22" s="110">
        <v>0.2</v>
      </c>
      <c r="F22" s="119"/>
      <c r="G22" s="119"/>
      <c r="H22" s="119"/>
      <c r="I22" s="119"/>
    </row>
    <row r="23" spans="1:9" x14ac:dyDescent="0.25">
      <c r="A23" s="119"/>
      <c r="B23" s="208" t="s">
        <v>1</v>
      </c>
      <c r="C23" s="209"/>
      <c r="D23" s="174">
        <f t="shared" si="2"/>
        <v>3.0000000000000002E-2</v>
      </c>
      <c r="E23" s="112">
        <v>0.09</v>
      </c>
      <c r="F23" s="119"/>
      <c r="G23" s="119"/>
      <c r="H23" s="119"/>
      <c r="I23" s="119"/>
    </row>
    <row r="24" spans="1:9" x14ac:dyDescent="0.25">
      <c r="A24" s="119"/>
      <c r="B24" s="198" t="s">
        <v>11</v>
      </c>
      <c r="C24" s="199"/>
      <c r="D24" s="175">
        <f t="shared" si="2"/>
        <v>0</v>
      </c>
      <c r="E24" s="176">
        <v>0</v>
      </c>
      <c r="F24" s="119"/>
      <c r="G24" s="119"/>
      <c r="H24" s="119"/>
      <c r="I24" s="119"/>
    </row>
    <row r="25" spans="1:9" x14ac:dyDescent="0.25">
      <c r="A25" s="119"/>
      <c r="B25" s="198" t="s">
        <v>12</v>
      </c>
      <c r="C25" s="199"/>
      <c r="D25" s="175">
        <f t="shared" si="2"/>
        <v>4.3333333333333335E-2</v>
      </c>
      <c r="E25" s="176">
        <v>0.13</v>
      </c>
      <c r="F25" s="119"/>
      <c r="G25" s="119"/>
      <c r="H25" s="119"/>
      <c r="I25" s="119"/>
    </row>
    <row r="26" spans="1:9" x14ac:dyDescent="0.25">
      <c r="A26" s="119"/>
      <c r="B26" s="198" t="s">
        <v>14</v>
      </c>
      <c r="C26" s="199"/>
      <c r="D26" s="175">
        <f t="shared" si="2"/>
        <v>0</v>
      </c>
      <c r="E26" s="176">
        <v>0</v>
      </c>
      <c r="F26" s="119"/>
      <c r="G26" s="119"/>
      <c r="H26" s="119"/>
      <c r="I26" s="119"/>
    </row>
    <row r="27" spans="1:9" ht="15.75" thickBot="1" x14ac:dyDescent="0.3">
      <c r="A27" s="119"/>
      <c r="B27" s="198" t="s">
        <v>13</v>
      </c>
      <c r="C27" s="199"/>
      <c r="D27" s="177">
        <f t="shared" si="2"/>
        <v>0</v>
      </c>
      <c r="E27" s="178">
        <v>0</v>
      </c>
      <c r="F27" s="119"/>
      <c r="G27" s="119"/>
      <c r="H27" s="119"/>
      <c r="I27" s="119"/>
    </row>
    <row r="28" spans="1:9" ht="15.75" thickBot="1" x14ac:dyDescent="0.3">
      <c r="A28" s="119"/>
      <c r="B28" s="196" t="s">
        <v>3</v>
      </c>
      <c r="C28" s="197"/>
      <c r="D28" s="115">
        <f t="shared" ref="D28" si="3">TIME(, ,E28*28800)</f>
        <v>0.33333333333333331</v>
      </c>
      <c r="E28" s="101">
        <f>SUM(E21:E27)</f>
        <v>1</v>
      </c>
      <c r="F28" s="119"/>
      <c r="G28" s="119"/>
      <c r="H28" s="119"/>
      <c r="I28" s="119"/>
    </row>
    <row r="29" spans="1:9" ht="3" customHeight="1" x14ac:dyDescent="0.25">
      <c r="A29" s="119"/>
      <c r="B29" s="25" t="s">
        <v>16</v>
      </c>
      <c r="C29" s="25"/>
      <c r="D29" s="125">
        <f>SUM(D24:D27)</f>
        <v>4.3333333333333335E-2</v>
      </c>
      <c r="E29" s="123"/>
      <c r="F29" s="119"/>
      <c r="G29" s="119"/>
      <c r="H29" s="119"/>
      <c r="I29" s="119"/>
    </row>
    <row r="30" spans="1:9" ht="3" customHeight="1" x14ac:dyDescent="0.25">
      <c r="A30" s="119"/>
      <c r="B30" s="28" t="s">
        <v>2</v>
      </c>
      <c r="C30" s="28"/>
      <c r="D30" s="29">
        <f>D21</f>
        <v>0.19333333333333333</v>
      </c>
      <c r="E30" s="123"/>
      <c r="F30" s="119"/>
      <c r="G30" s="119"/>
      <c r="H30" s="119"/>
      <c r="I30" s="119"/>
    </row>
    <row r="31" spans="1:9" ht="3" customHeight="1" x14ac:dyDescent="0.25">
      <c r="A31" s="119"/>
      <c r="B31" s="79" t="s">
        <v>0</v>
      </c>
      <c r="C31" s="79"/>
      <c r="D31" s="126">
        <f>D22</f>
        <v>6.6666666666666666E-2</v>
      </c>
      <c r="E31" s="123"/>
      <c r="F31" s="119"/>
      <c r="G31" s="119"/>
      <c r="H31" s="119"/>
      <c r="I31" s="119"/>
    </row>
    <row r="32" spans="1:9" x14ac:dyDescent="0.25">
      <c r="A32" s="119"/>
      <c r="B32" s="36" t="str">
        <f>B23</f>
        <v>SETUP</v>
      </c>
      <c r="C32" s="119"/>
      <c r="D32" s="124">
        <f>D23</f>
        <v>3.0000000000000002E-2</v>
      </c>
      <c r="E32" s="123"/>
      <c r="F32" s="119"/>
      <c r="G32" s="119"/>
      <c r="H32" s="119"/>
      <c r="I32" s="119"/>
    </row>
    <row r="33" spans="1:9" ht="15.75" thickBot="1" x14ac:dyDescent="0.3">
      <c r="A33" s="119"/>
      <c r="B33" s="119"/>
      <c r="C33" s="119"/>
      <c r="D33" s="123"/>
      <c r="E33" s="123"/>
      <c r="F33" s="119"/>
      <c r="G33" s="119"/>
      <c r="H33" s="119"/>
      <c r="I33" s="119"/>
    </row>
    <row r="34" spans="1:9" ht="15.75" thickBot="1" x14ac:dyDescent="0.3">
      <c r="A34" s="104" t="s">
        <v>6</v>
      </c>
      <c r="B34" s="200" t="s">
        <v>50</v>
      </c>
      <c r="C34" s="201"/>
      <c r="D34" s="106" t="s">
        <v>22</v>
      </c>
      <c r="E34" s="105" t="s">
        <v>4</v>
      </c>
      <c r="F34" s="119"/>
      <c r="G34" s="119"/>
      <c r="H34" s="119"/>
      <c r="I34" s="119"/>
    </row>
    <row r="35" spans="1:9" x14ac:dyDescent="0.25">
      <c r="A35" s="119"/>
      <c r="B35" s="129" t="s">
        <v>2</v>
      </c>
      <c r="C35" s="130"/>
      <c r="D35" s="127">
        <f>TIME(, ,E35*28800)</f>
        <v>0.25999999999999995</v>
      </c>
      <c r="E35" s="128">
        <v>0.78</v>
      </c>
      <c r="F35" s="119"/>
      <c r="G35" s="119"/>
      <c r="H35" s="119"/>
      <c r="I35" s="119"/>
    </row>
    <row r="36" spans="1:9" x14ac:dyDescent="0.25">
      <c r="A36" s="119"/>
      <c r="B36" s="131" t="s">
        <v>0</v>
      </c>
      <c r="C36" s="118"/>
      <c r="D36" s="109">
        <f>TIME(, ,E36*28800)</f>
        <v>3.1064814814814812E-2</v>
      </c>
      <c r="E36" s="110">
        <f>1-E35-E39</f>
        <v>9.3199999999999977E-2</v>
      </c>
      <c r="F36" s="119"/>
      <c r="G36" s="119"/>
      <c r="H36" s="119"/>
      <c r="I36" s="119"/>
    </row>
    <row r="37" spans="1:9" x14ac:dyDescent="0.25">
      <c r="A37" s="119"/>
      <c r="B37" s="208" t="s">
        <v>1</v>
      </c>
      <c r="C37" s="209"/>
      <c r="D37" s="111">
        <v>0</v>
      </c>
      <c r="E37" s="112">
        <v>0</v>
      </c>
      <c r="F37" s="119"/>
      <c r="G37" s="119"/>
      <c r="H37" s="119"/>
      <c r="I37" s="119"/>
    </row>
    <row r="38" spans="1:9" x14ac:dyDescent="0.25">
      <c r="A38" s="119"/>
      <c r="B38" s="198" t="s">
        <v>11</v>
      </c>
      <c r="C38" s="199"/>
      <c r="D38" s="113">
        <f t="shared" ref="D38:D41" si="4">TIME(, ,E38*28800)</f>
        <v>0</v>
      </c>
      <c r="E38" s="114">
        <v>0</v>
      </c>
      <c r="F38" s="119"/>
      <c r="G38" s="119"/>
      <c r="H38" s="119"/>
      <c r="I38" s="119"/>
    </row>
    <row r="39" spans="1:9" x14ac:dyDescent="0.25">
      <c r="A39" s="119"/>
      <c r="B39" s="198" t="s">
        <v>12</v>
      </c>
      <c r="C39" s="199"/>
      <c r="D39" s="113">
        <f t="shared" si="4"/>
        <v>4.2256944444444444E-2</v>
      </c>
      <c r="E39" s="114">
        <v>0.1268</v>
      </c>
      <c r="F39" s="119"/>
      <c r="G39" s="119"/>
      <c r="H39" s="119"/>
      <c r="I39" s="119"/>
    </row>
    <row r="40" spans="1:9" x14ac:dyDescent="0.25">
      <c r="A40" s="119"/>
      <c r="B40" s="198" t="s">
        <v>14</v>
      </c>
      <c r="C40" s="199"/>
      <c r="D40" s="113">
        <f t="shared" si="4"/>
        <v>0</v>
      </c>
      <c r="E40" s="114">
        <v>0</v>
      </c>
      <c r="F40" s="119"/>
      <c r="G40" s="119"/>
      <c r="H40" s="119"/>
      <c r="I40" s="119"/>
    </row>
    <row r="41" spans="1:9" ht="15.75" thickBot="1" x14ac:dyDescent="0.3">
      <c r="A41" s="119"/>
      <c r="B41" s="198" t="s">
        <v>13</v>
      </c>
      <c r="C41" s="199"/>
      <c r="D41" s="113">
        <f t="shared" si="4"/>
        <v>0</v>
      </c>
      <c r="E41" s="114">
        <v>0</v>
      </c>
      <c r="F41" s="119"/>
      <c r="G41" s="119"/>
      <c r="H41" s="119"/>
      <c r="I41" s="119"/>
    </row>
    <row r="42" spans="1:9" ht="15.75" thickBot="1" x14ac:dyDescent="0.3">
      <c r="A42" s="119"/>
      <c r="B42" s="196" t="s">
        <v>3</v>
      </c>
      <c r="C42" s="197"/>
      <c r="D42" s="115">
        <f t="shared" ref="D42" si="5">TIME(, ,E42*28800)</f>
        <v>0.33333333333333331</v>
      </c>
      <c r="E42" s="101">
        <f>SUM(E35:E41)</f>
        <v>1</v>
      </c>
      <c r="F42" s="119"/>
      <c r="G42" s="119"/>
      <c r="H42" s="119"/>
      <c r="I42" s="119"/>
    </row>
    <row r="43" spans="1:9" x14ac:dyDescent="0.25">
      <c r="A43" s="119"/>
      <c r="B43" s="24" t="s">
        <v>16</v>
      </c>
      <c r="C43" s="24"/>
      <c r="D43" s="122">
        <f>SUM(D38:D41)</f>
        <v>4.2256944444444444E-2</v>
      </c>
      <c r="E43" s="119"/>
      <c r="F43" s="119"/>
      <c r="G43" s="119"/>
      <c r="H43" s="119"/>
      <c r="I43" s="119"/>
    </row>
    <row r="44" spans="1:9" ht="3" customHeight="1" x14ac:dyDescent="0.25">
      <c r="A44" s="119"/>
      <c r="B44" s="23" t="s">
        <v>2</v>
      </c>
      <c r="C44" s="23"/>
      <c r="D44" s="20">
        <f>D35</f>
        <v>0.25999999999999995</v>
      </c>
      <c r="E44" s="119"/>
      <c r="F44" s="119"/>
      <c r="G44" s="119"/>
      <c r="H44" s="119"/>
      <c r="I44" s="119"/>
    </row>
    <row r="45" spans="1:9" ht="3" customHeight="1" x14ac:dyDescent="0.25">
      <c r="A45" s="119"/>
      <c r="B45" s="21" t="s">
        <v>0</v>
      </c>
      <c r="C45" s="21"/>
      <c r="D45" s="22">
        <f>D36</f>
        <v>3.1064814814814812E-2</v>
      </c>
      <c r="E45" s="119"/>
      <c r="F45" s="119"/>
      <c r="G45" s="119"/>
      <c r="H45" s="119"/>
      <c r="I45" s="119"/>
    </row>
    <row r="46" spans="1:9" ht="3" customHeight="1" x14ac:dyDescent="0.25">
      <c r="A46" s="119"/>
      <c r="B46" s="36" t="str">
        <f>B37</f>
        <v>SETUP</v>
      </c>
      <c r="C46" s="36"/>
      <c r="D46" s="121">
        <f>D37</f>
        <v>0</v>
      </c>
      <c r="E46" s="119"/>
      <c r="F46" s="119"/>
      <c r="G46" s="119"/>
      <c r="H46" s="119"/>
      <c r="I46" s="119"/>
    </row>
    <row r="47" spans="1:9" x14ac:dyDescent="0.25">
      <c r="A47" s="66" t="s">
        <v>51</v>
      </c>
    </row>
    <row r="48" spans="1:9" x14ac:dyDescent="0.25">
      <c r="A48" s="134"/>
      <c r="B48" s="134"/>
      <c r="C48" s="134"/>
      <c r="D48" s="134"/>
      <c r="E48" s="134"/>
      <c r="F48" s="134"/>
      <c r="G48" s="134"/>
      <c r="H48" s="134"/>
      <c r="I48" s="134"/>
    </row>
    <row r="49" spans="1:9" x14ac:dyDescent="0.25">
      <c r="A49" s="134"/>
      <c r="B49" s="134"/>
      <c r="C49" s="134"/>
      <c r="D49" s="134"/>
      <c r="E49" s="134"/>
      <c r="F49" s="134"/>
      <c r="G49" s="134"/>
      <c r="H49" s="134"/>
      <c r="I49" s="134"/>
    </row>
    <row r="50" spans="1:9" x14ac:dyDescent="0.25">
      <c r="A50" s="134"/>
      <c r="B50" s="134"/>
      <c r="C50" s="134"/>
      <c r="D50" s="134"/>
      <c r="E50" s="134"/>
      <c r="F50" s="134"/>
      <c r="G50" s="134"/>
      <c r="H50" s="134"/>
      <c r="I50" s="134"/>
    </row>
  </sheetData>
  <mergeCells count="25">
    <mergeCell ref="B42:C42"/>
    <mergeCell ref="B34:C34"/>
    <mergeCell ref="B37:C37"/>
    <mergeCell ref="B38:C38"/>
    <mergeCell ref="B39:C39"/>
    <mergeCell ref="B40:C40"/>
    <mergeCell ref="B41:C41"/>
    <mergeCell ref="B28:C28"/>
    <mergeCell ref="B10:C10"/>
    <mergeCell ref="B11:C11"/>
    <mergeCell ref="B12:C12"/>
    <mergeCell ref="B13:C13"/>
    <mergeCell ref="B14:C14"/>
    <mergeCell ref="B20:C20"/>
    <mergeCell ref="B23:C23"/>
    <mergeCell ref="B24:C24"/>
    <mergeCell ref="B25:C25"/>
    <mergeCell ref="B26:C26"/>
    <mergeCell ref="B27:C27"/>
    <mergeCell ref="B9:C9"/>
    <mergeCell ref="G1:I1"/>
    <mergeCell ref="A2:C2"/>
    <mergeCell ref="E2:F2"/>
    <mergeCell ref="G2:I2"/>
    <mergeCell ref="B6:C6"/>
  </mergeCells>
  <pageMargins left="0.23622047244094491" right="0.23622047244094491" top="0.47244094488188981" bottom="0.39370078740157483" header="0.39370078740157483" footer="0"/>
  <pageSetup scale="9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50"/>
  <sheetViews>
    <sheetView topLeftCell="A7" zoomScaleNormal="100" zoomScalePageLayoutView="70" workbookViewId="0">
      <selection activeCell="K9" sqref="K9"/>
    </sheetView>
  </sheetViews>
  <sheetFormatPr defaultColWidth="10.28515625" defaultRowHeight="15" x14ac:dyDescent="0.25"/>
  <cols>
    <col min="1" max="1" width="14.85546875" customWidth="1"/>
    <col min="4" max="5" width="10.28515625" customWidth="1"/>
    <col min="6" max="6" width="16.5703125" customWidth="1"/>
    <col min="8" max="8" width="12" customWidth="1"/>
    <col min="9" max="9" width="4.85546875" customWidth="1"/>
  </cols>
  <sheetData>
    <row r="1" spans="1:9" ht="116.25" customHeight="1" thickBot="1" x14ac:dyDescent="0.6">
      <c r="A1" s="119"/>
      <c r="B1" s="119"/>
      <c r="C1" s="119"/>
      <c r="D1" s="119"/>
      <c r="E1" s="119"/>
      <c r="F1" s="119"/>
      <c r="G1" s="202" t="s">
        <v>10</v>
      </c>
      <c r="H1" s="202"/>
      <c r="I1" s="202"/>
    </row>
    <row r="2" spans="1:9" ht="30" customHeight="1" thickBot="1" x14ac:dyDescent="0.5">
      <c r="A2" s="203" t="s">
        <v>56</v>
      </c>
      <c r="B2" s="204"/>
      <c r="C2" s="204"/>
      <c r="D2" s="132"/>
      <c r="E2" s="205" t="s">
        <v>9</v>
      </c>
      <c r="F2" s="205"/>
      <c r="G2" s="206">
        <v>41428</v>
      </c>
      <c r="H2" s="205"/>
      <c r="I2" s="207"/>
    </row>
    <row r="3" spans="1:9" ht="6.75" customHeight="1" x14ac:dyDescent="0.45">
      <c r="A3" s="102"/>
      <c r="B3" s="103"/>
      <c r="C3" s="103"/>
      <c r="D3" s="103"/>
      <c r="E3" s="103"/>
      <c r="F3" s="103"/>
      <c r="G3" s="103"/>
      <c r="H3" s="103"/>
      <c r="I3" s="103"/>
    </row>
    <row r="4" spans="1:9" ht="6.75" customHeight="1" x14ac:dyDescent="0.25">
      <c r="A4" s="119"/>
      <c r="B4" s="119"/>
      <c r="C4" s="119"/>
      <c r="D4" s="119"/>
      <c r="E4" s="119"/>
      <c r="F4" s="119"/>
      <c r="G4" s="119"/>
      <c r="H4" s="119"/>
      <c r="I4" s="119"/>
    </row>
    <row r="5" spans="1:9" ht="6.75" customHeight="1" thickBot="1" x14ac:dyDescent="0.3">
      <c r="A5" s="119"/>
      <c r="B5" s="119"/>
      <c r="C5" s="119"/>
      <c r="D5" s="119"/>
      <c r="E5" s="119"/>
      <c r="F5" s="119"/>
      <c r="G5" s="119"/>
      <c r="H5" s="119"/>
      <c r="I5" s="119"/>
    </row>
    <row r="6" spans="1:9" ht="15.75" thickBot="1" x14ac:dyDescent="0.3">
      <c r="A6" s="104" t="s">
        <v>8</v>
      </c>
      <c r="B6" s="200" t="s">
        <v>50</v>
      </c>
      <c r="C6" s="201"/>
      <c r="D6" s="106" t="s">
        <v>22</v>
      </c>
      <c r="E6" s="105" t="s">
        <v>4</v>
      </c>
      <c r="F6" s="119"/>
      <c r="G6" s="119"/>
      <c r="H6" s="119"/>
      <c r="I6" s="119"/>
    </row>
    <row r="7" spans="1:9" x14ac:dyDescent="0.25">
      <c r="A7" s="119"/>
      <c r="B7" s="129" t="s">
        <v>2</v>
      </c>
      <c r="C7" s="120"/>
      <c r="D7" s="172">
        <f t="shared" ref="D7:D14" si="0">TIME(, ,E7*28800)</f>
        <v>0.25333333333333335</v>
      </c>
      <c r="E7" s="173">
        <v>0.76</v>
      </c>
      <c r="F7" s="119"/>
      <c r="G7" s="119"/>
      <c r="H7" s="119"/>
      <c r="I7" s="119"/>
    </row>
    <row r="8" spans="1:9" x14ac:dyDescent="0.25">
      <c r="A8" s="119"/>
      <c r="B8" s="131" t="s">
        <v>0</v>
      </c>
      <c r="C8" s="117"/>
      <c r="D8" s="109">
        <f t="shared" si="0"/>
        <v>0.01</v>
      </c>
      <c r="E8" s="110">
        <f>1-E7-E9-SUM(E10:E13)</f>
        <v>2.9999999999999985E-2</v>
      </c>
      <c r="F8" s="119"/>
      <c r="G8" s="119"/>
      <c r="H8" s="119"/>
      <c r="I8" s="119"/>
    </row>
    <row r="9" spans="1:9" x14ac:dyDescent="0.25">
      <c r="A9" s="119"/>
      <c r="B9" s="208" t="s">
        <v>1</v>
      </c>
      <c r="C9" s="210"/>
      <c r="D9" s="174">
        <f t="shared" si="0"/>
        <v>4.6666666666666669E-2</v>
      </c>
      <c r="E9" s="112">
        <v>0.14000000000000001</v>
      </c>
      <c r="F9" s="119"/>
      <c r="G9" s="119"/>
      <c r="H9" s="119"/>
      <c r="I9" s="119"/>
    </row>
    <row r="10" spans="1:9" x14ac:dyDescent="0.25">
      <c r="A10" s="119"/>
      <c r="B10" s="198" t="s">
        <v>11</v>
      </c>
      <c r="C10" s="211"/>
      <c r="D10" s="175">
        <f t="shared" si="0"/>
        <v>0.02</v>
      </c>
      <c r="E10" s="176">
        <v>0.06</v>
      </c>
      <c r="F10" s="119"/>
      <c r="G10" s="119"/>
      <c r="H10" s="119"/>
      <c r="I10" s="119"/>
    </row>
    <row r="11" spans="1:9" x14ac:dyDescent="0.25">
      <c r="A11" s="119"/>
      <c r="B11" s="198" t="s">
        <v>12</v>
      </c>
      <c r="C11" s="211"/>
      <c r="D11" s="175">
        <f t="shared" si="0"/>
        <v>0</v>
      </c>
      <c r="E11" s="176">
        <v>0</v>
      </c>
      <c r="F11" s="119"/>
      <c r="G11" s="119"/>
      <c r="H11" s="119"/>
      <c r="I11" s="119"/>
    </row>
    <row r="12" spans="1:9" x14ac:dyDescent="0.25">
      <c r="A12" s="119"/>
      <c r="B12" s="198" t="s">
        <v>14</v>
      </c>
      <c r="C12" s="211"/>
      <c r="D12" s="175">
        <f t="shared" si="0"/>
        <v>3.3333333333333335E-3</v>
      </c>
      <c r="E12" s="176">
        <v>0.01</v>
      </c>
      <c r="F12" s="119"/>
      <c r="G12" s="119"/>
      <c r="H12" s="119"/>
      <c r="I12" s="119"/>
    </row>
    <row r="13" spans="1:9" ht="15.75" thickBot="1" x14ac:dyDescent="0.3">
      <c r="A13" s="119"/>
      <c r="B13" s="198" t="s">
        <v>13</v>
      </c>
      <c r="C13" s="211"/>
      <c r="D13" s="177">
        <f t="shared" si="0"/>
        <v>0</v>
      </c>
      <c r="E13" s="178">
        <v>0</v>
      </c>
      <c r="F13" s="119"/>
      <c r="G13" s="119"/>
      <c r="H13" s="119"/>
      <c r="I13" s="119"/>
    </row>
    <row r="14" spans="1:9" ht="15.75" thickBot="1" x14ac:dyDescent="0.3">
      <c r="A14" s="119"/>
      <c r="B14" s="196" t="s">
        <v>3</v>
      </c>
      <c r="C14" s="197"/>
      <c r="D14" s="115">
        <f t="shared" si="0"/>
        <v>0.33333333333333331</v>
      </c>
      <c r="E14" s="101">
        <f>SUM(E7:E13)</f>
        <v>1</v>
      </c>
      <c r="F14" s="119"/>
      <c r="G14" s="119"/>
      <c r="H14" s="119"/>
      <c r="I14" s="119"/>
    </row>
    <row r="15" spans="1:9" ht="3.75" customHeight="1" x14ac:dyDescent="0.25">
      <c r="A15" s="121">
        <f>D7+D21+D35</f>
        <v>0.64</v>
      </c>
      <c r="B15" s="24" t="s">
        <v>16</v>
      </c>
      <c r="C15" s="24"/>
      <c r="D15" s="122">
        <f>SUM(D10:D13)</f>
        <v>2.3333333333333334E-2</v>
      </c>
      <c r="E15" s="123"/>
      <c r="F15" s="119"/>
      <c r="G15" s="119"/>
      <c r="H15" s="119"/>
      <c r="I15" s="119"/>
    </row>
    <row r="16" spans="1:9" ht="3.75" customHeight="1" x14ac:dyDescent="0.25">
      <c r="A16" s="36">
        <f>17*3600+40*60+48</f>
        <v>63648</v>
      </c>
      <c r="B16" s="23" t="s">
        <v>2</v>
      </c>
      <c r="C16" s="23"/>
      <c r="D16" s="20">
        <f>D7</f>
        <v>0.25333333333333335</v>
      </c>
      <c r="E16" s="123"/>
      <c r="F16" s="119"/>
      <c r="G16" s="119"/>
      <c r="H16" s="119"/>
      <c r="I16" s="119"/>
    </row>
    <row r="17" spans="1:9" ht="3.75" customHeight="1" x14ac:dyDescent="0.25">
      <c r="A17" s="36">
        <f>24*3600</f>
        <v>86400</v>
      </c>
      <c r="B17" s="21" t="s">
        <v>0</v>
      </c>
      <c r="C17" s="21"/>
      <c r="D17" s="22">
        <f>D8</f>
        <v>0.01</v>
      </c>
      <c r="E17" s="123"/>
      <c r="F17" s="119"/>
      <c r="G17" s="119"/>
      <c r="H17" s="119"/>
      <c r="I17" s="119"/>
    </row>
    <row r="18" spans="1:9" x14ac:dyDescent="0.25">
      <c r="A18" s="119"/>
      <c r="B18" s="36" t="str">
        <f>B9</f>
        <v>SETUP</v>
      </c>
      <c r="C18" s="119"/>
      <c r="D18" s="124">
        <f>D9</f>
        <v>4.6666666666666669E-2</v>
      </c>
      <c r="E18" s="123"/>
      <c r="F18" s="119"/>
      <c r="G18" s="119"/>
      <c r="H18" s="119"/>
      <c r="I18" s="119"/>
    </row>
    <row r="19" spans="1:9" ht="15.75" thickBot="1" x14ac:dyDescent="0.3">
      <c r="A19" s="119"/>
      <c r="B19" s="119"/>
      <c r="C19" s="119"/>
      <c r="D19" s="123"/>
      <c r="E19" s="123"/>
      <c r="F19" s="119"/>
      <c r="G19" s="119"/>
      <c r="H19" s="119"/>
      <c r="I19" s="119"/>
    </row>
    <row r="20" spans="1:9" ht="15.75" thickBot="1" x14ac:dyDescent="0.3">
      <c r="A20" s="104" t="s">
        <v>7</v>
      </c>
      <c r="B20" s="200" t="s">
        <v>50</v>
      </c>
      <c r="C20" s="201"/>
      <c r="D20" s="106" t="s">
        <v>22</v>
      </c>
      <c r="E20" s="105" t="s">
        <v>4</v>
      </c>
      <c r="F20" s="119"/>
      <c r="G20" s="119"/>
      <c r="H20" s="119"/>
      <c r="I20" s="119"/>
    </row>
    <row r="21" spans="1:9" x14ac:dyDescent="0.25">
      <c r="A21" s="119"/>
      <c r="B21" s="129" t="s">
        <v>2</v>
      </c>
      <c r="C21" s="130"/>
      <c r="D21" s="172">
        <f t="shared" ref="D21:D28" si="1">TIME(, ,E21*28800)</f>
        <v>0.33333333333333331</v>
      </c>
      <c r="E21" s="173">
        <v>1</v>
      </c>
      <c r="F21" s="119"/>
      <c r="G21" s="119"/>
      <c r="H21" s="119"/>
      <c r="I21" s="119"/>
    </row>
    <row r="22" spans="1:9" x14ac:dyDescent="0.25">
      <c r="A22" s="119"/>
      <c r="B22" s="131" t="s">
        <v>0</v>
      </c>
      <c r="C22" s="118"/>
      <c r="D22" s="109">
        <f t="shared" si="1"/>
        <v>0</v>
      </c>
      <c r="E22" s="110">
        <f>1-E21-E23-SUM(E24:E27)</f>
        <v>0</v>
      </c>
      <c r="F22" s="119"/>
      <c r="G22" s="119"/>
      <c r="H22" s="119"/>
      <c r="I22" s="119"/>
    </row>
    <row r="23" spans="1:9" x14ac:dyDescent="0.25">
      <c r="A23" s="119"/>
      <c r="B23" s="208" t="s">
        <v>1</v>
      </c>
      <c r="C23" s="209"/>
      <c r="D23" s="174">
        <f t="shared" si="1"/>
        <v>0</v>
      </c>
      <c r="E23" s="112">
        <v>0</v>
      </c>
      <c r="F23" s="119"/>
      <c r="G23" s="119"/>
      <c r="H23" s="119"/>
      <c r="I23" s="119"/>
    </row>
    <row r="24" spans="1:9" x14ac:dyDescent="0.25">
      <c r="A24" s="119"/>
      <c r="B24" s="198" t="s">
        <v>11</v>
      </c>
      <c r="C24" s="199"/>
      <c r="D24" s="175">
        <f t="shared" si="1"/>
        <v>0</v>
      </c>
      <c r="E24" s="176">
        <v>0</v>
      </c>
      <c r="F24" s="119"/>
      <c r="G24" s="119"/>
      <c r="H24" s="119"/>
      <c r="I24" s="119"/>
    </row>
    <row r="25" spans="1:9" x14ac:dyDescent="0.25">
      <c r="A25" s="119"/>
      <c r="B25" s="198" t="s">
        <v>12</v>
      </c>
      <c r="C25" s="199"/>
      <c r="D25" s="175">
        <f t="shared" si="1"/>
        <v>0</v>
      </c>
      <c r="E25" s="176">
        <v>0</v>
      </c>
      <c r="F25" s="119"/>
      <c r="G25" s="119"/>
      <c r="H25" s="119"/>
      <c r="I25" s="119"/>
    </row>
    <row r="26" spans="1:9" x14ac:dyDescent="0.25">
      <c r="A26" s="119"/>
      <c r="B26" s="198" t="s">
        <v>14</v>
      </c>
      <c r="C26" s="199"/>
      <c r="D26" s="175">
        <f t="shared" si="1"/>
        <v>0</v>
      </c>
      <c r="E26" s="176">
        <v>0</v>
      </c>
      <c r="F26" s="119"/>
      <c r="G26" s="119"/>
      <c r="H26" s="119"/>
      <c r="I26" s="119"/>
    </row>
    <row r="27" spans="1:9" ht="15.75" thickBot="1" x14ac:dyDescent="0.3">
      <c r="A27" s="119"/>
      <c r="B27" s="198" t="s">
        <v>13</v>
      </c>
      <c r="C27" s="199"/>
      <c r="D27" s="177">
        <f t="shared" si="1"/>
        <v>0</v>
      </c>
      <c r="E27" s="178">
        <v>0</v>
      </c>
      <c r="F27" s="119"/>
      <c r="G27" s="119"/>
      <c r="H27" s="119"/>
      <c r="I27" s="119"/>
    </row>
    <row r="28" spans="1:9" ht="15.75" thickBot="1" x14ac:dyDescent="0.3">
      <c r="A28" s="119"/>
      <c r="B28" s="196" t="s">
        <v>3</v>
      </c>
      <c r="C28" s="197"/>
      <c r="D28" s="115">
        <f t="shared" si="1"/>
        <v>0.33333333333333331</v>
      </c>
      <c r="E28" s="101">
        <f>SUM(E21:E27)</f>
        <v>1</v>
      </c>
      <c r="F28" s="119"/>
      <c r="G28" s="119"/>
      <c r="H28" s="119"/>
      <c r="I28" s="119"/>
    </row>
    <row r="29" spans="1:9" ht="3" customHeight="1" x14ac:dyDescent="0.25">
      <c r="A29" s="119"/>
      <c r="B29" s="25" t="s">
        <v>16</v>
      </c>
      <c r="C29" s="25"/>
      <c r="D29" s="125">
        <f>SUM(D24:D27)</f>
        <v>0</v>
      </c>
      <c r="E29" s="123"/>
      <c r="F29" s="119"/>
      <c r="G29" s="119"/>
      <c r="H29" s="119"/>
      <c r="I29" s="119"/>
    </row>
    <row r="30" spans="1:9" ht="3" customHeight="1" x14ac:dyDescent="0.25">
      <c r="A30" s="119"/>
      <c r="B30" s="28" t="s">
        <v>2</v>
      </c>
      <c r="C30" s="28"/>
      <c r="D30" s="29">
        <f>D21</f>
        <v>0.33333333333333331</v>
      </c>
      <c r="E30" s="123"/>
      <c r="F30" s="119"/>
      <c r="G30" s="119"/>
      <c r="H30" s="119"/>
      <c r="I30" s="119"/>
    </row>
    <row r="31" spans="1:9" ht="3" customHeight="1" x14ac:dyDescent="0.25">
      <c r="A31" s="119"/>
      <c r="B31" s="79" t="s">
        <v>0</v>
      </c>
      <c r="C31" s="79"/>
      <c r="D31" s="126">
        <f>D22</f>
        <v>0</v>
      </c>
      <c r="E31" s="123"/>
      <c r="F31" s="119"/>
      <c r="G31" s="119"/>
      <c r="H31" s="119"/>
      <c r="I31" s="119"/>
    </row>
    <row r="32" spans="1:9" x14ac:dyDescent="0.25">
      <c r="A32" s="119"/>
      <c r="B32" s="36" t="str">
        <f>B23</f>
        <v>SETUP</v>
      </c>
      <c r="C32" s="119"/>
      <c r="D32" s="124">
        <f>D23</f>
        <v>0</v>
      </c>
      <c r="E32" s="123"/>
      <c r="F32" s="119"/>
      <c r="G32" s="119"/>
      <c r="H32" s="119"/>
      <c r="I32" s="119"/>
    </row>
    <row r="33" spans="1:9" ht="15.75" thickBot="1" x14ac:dyDescent="0.3">
      <c r="A33" s="119"/>
      <c r="B33" s="119"/>
      <c r="C33" s="119"/>
      <c r="D33" s="123"/>
      <c r="E33" s="123"/>
      <c r="F33" s="119"/>
      <c r="G33" s="119"/>
      <c r="H33" s="119"/>
      <c r="I33" s="119"/>
    </row>
    <row r="34" spans="1:9" ht="15.75" thickBot="1" x14ac:dyDescent="0.3">
      <c r="A34" s="104" t="s">
        <v>6</v>
      </c>
      <c r="B34" s="200" t="s">
        <v>50</v>
      </c>
      <c r="C34" s="201"/>
      <c r="D34" s="106" t="s">
        <v>22</v>
      </c>
      <c r="E34" s="105" t="s">
        <v>4</v>
      </c>
      <c r="F34" s="119"/>
      <c r="G34" s="119"/>
      <c r="H34" s="119"/>
      <c r="I34" s="119"/>
    </row>
    <row r="35" spans="1:9" x14ac:dyDescent="0.25">
      <c r="A35" s="119"/>
      <c r="B35" s="129" t="s">
        <v>2</v>
      </c>
      <c r="C35" s="130"/>
      <c r="D35" s="107">
        <f>TIME(, ,E35*28800)</f>
        <v>5.3333333333333337E-2</v>
      </c>
      <c r="E35" s="108">
        <v>0.16</v>
      </c>
      <c r="F35" s="119"/>
      <c r="G35" s="119"/>
      <c r="H35" s="119"/>
      <c r="I35" s="119"/>
    </row>
    <row r="36" spans="1:9" x14ac:dyDescent="0.25">
      <c r="A36" s="119"/>
      <c r="B36" s="131" t="s">
        <v>0</v>
      </c>
      <c r="C36" s="118"/>
      <c r="D36" s="109">
        <f>TIME(, ,E36*28800)</f>
        <v>0.04</v>
      </c>
      <c r="E36" s="110">
        <f>1-E35-E39</f>
        <v>0.12</v>
      </c>
      <c r="F36" s="119"/>
      <c r="G36" s="119"/>
      <c r="H36" s="119"/>
      <c r="I36" s="119"/>
    </row>
    <row r="37" spans="1:9" x14ac:dyDescent="0.25">
      <c r="A37" s="119"/>
      <c r="B37" s="208" t="s">
        <v>1</v>
      </c>
      <c r="C37" s="209"/>
      <c r="D37" s="111">
        <v>0</v>
      </c>
      <c r="E37" s="112">
        <v>0</v>
      </c>
      <c r="F37" s="119"/>
      <c r="G37" s="119"/>
      <c r="H37" s="119"/>
      <c r="I37" s="119"/>
    </row>
    <row r="38" spans="1:9" x14ac:dyDescent="0.25">
      <c r="A38" s="119"/>
      <c r="B38" s="198" t="s">
        <v>11</v>
      </c>
      <c r="C38" s="199"/>
      <c r="D38" s="113">
        <f t="shared" ref="D38:D42" si="2">TIME(, ,E38*28800)</f>
        <v>0</v>
      </c>
      <c r="E38" s="114">
        <v>0</v>
      </c>
      <c r="F38" s="119"/>
      <c r="G38" s="119"/>
      <c r="H38" s="119"/>
      <c r="I38" s="119"/>
    </row>
    <row r="39" spans="1:9" x14ac:dyDescent="0.25">
      <c r="A39" s="119"/>
      <c r="B39" s="198" t="s">
        <v>12</v>
      </c>
      <c r="C39" s="199"/>
      <c r="D39" s="113">
        <f t="shared" si="2"/>
        <v>0.24000000000000002</v>
      </c>
      <c r="E39" s="114">
        <v>0.72</v>
      </c>
      <c r="F39" s="119"/>
      <c r="G39" s="119"/>
      <c r="H39" s="119"/>
      <c r="I39" s="119"/>
    </row>
    <row r="40" spans="1:9" x14ac:dyDescent="0.25">
      <c r="A40" s="119"/>
      <c r="B40" s="198" t="s">
        <v>14</v>
      </c>
      <c r="C40" s="199"/>
      <c r="D40" s="113">
        <f t="shared" si="2"/>
        <v>0</v>
      </c>
      <c r="E40" s="114">
        <v>0</v>
      </c>
      <c r="F40" s="119"/>
      <c r="G40" s="119"/>
      <c r="H40" s="119"/>
      <c r="I40" s="119"/>
    </row>
    <row r="41" spans="1:9" ht="15.75" thickBot="1" x14ac:dyDescent="0.3">
      <c r="A41" s="119"/>
      <c r="B41" s="198" t="s">
        <v>13</v>
      </c>
      <c r="C41" s="199"/>
      <c r="D41" s="183">
        <f t="shared" si="2"/>
        <v>0</v>
      </c>
      <c r="E41" s="184">
        <v>0</v>
      </c>
      <c r="F41" s="119"/>
      <c r="G41" s="119"/>
      <c r="H41" s="119"/>
      <c r="I41" s="119"/>
    </row>
    <row r="42" spans="1:9" ht="15.75" thickBot="1" x14ac:dyDescent="0.3">
      <c r="A42" s="119"/>
      <c r="B42" s="196" t="s">
        <v>3</v>
      </c>
      <c r="C42" s="197"/>
      <c r="D42" s="115">
        <f t="shared" si="2"/>
        <v>0.33333333333333331</v>
      </c>
      <c r="E42" s="101">
        <f>SUM(E35:E41)</f>
        <v>1</v>
      </c>
      <c r="F42" s="119"/>
      <c r="G42" s="119"/>
      <c r="H42" s="119"/>
      <c r="I42" s="119"/>
    </row>
    <row r="43" spans="1:9" x14ac:dyDescent="0.25">
      <c r="A43" s="119"/>
      <c r="B43" s="24" t="s">
        <v>16</v>
      </c>
      <c r="C43" s="24"/>
      <c r="D43" s="122">
        <f>SUM(D38:D41)</f>
        <v>0.24000000000000002</v>
      </c>
      <c r="E43" s="119"/>
      <c r="F43" s="119"/>
      <c r="G43" s="119"/>
      <c r="H43" s="119"/>
      <c r="I43" s="119"/>
    </row>
    <row r="44" spans="1:9" ht="3" customHeight="1" x14ac:dyDescent="0.25">
      <c r="A44" s="119"/>
      <c r="B44" s="23" t="s">
        <v>2</v>
      </c>
      <c r="C44" s="23"/>
      <c r="D44" s="20">
        <f>D35</f>
        <v>5.3333333333333337E-2</v>
      </c>
      <c r="E44" s="119"/>
      <c r="F44" s="119"/>
      <c r="G44" s="119"/>
      <c r="H44" s="119"/>
      <c r="I44" s="119"/>
    </row>
    <row r="45" spans="1:9" ht="3" customHeight="1" x14ac:dyDescent="0.25">
      <c r="A45" s="119"/>
      <c r="B45" s="21" t="s">
        <v>0</v>
      </c>
      <c r="C45" s="21"/>
      <c r="D45" s="22">
        <f>D36</f>
        <v>0.04</v>
      </c>
      <c r="E45" s="119"/>
      <c r="F45" s="119"/>
      <c r="G45" s="119"/>
      <c r="H45" s="119"/>
      <c r="I45" s="119"/>
    </row>
    <row r="46" spans="1:9" ht="3" customHeight="1" x14ac:dyDescent="0.25">
      <c r="A46" s="119"/>
      <c r="B46" s="36" t="str">
        <f>B37</f>
        <v>SETUP</v>
      </c>
      <c r="C46" s="36"/>
      <c r="D46" s="121">
        <f>D37</f>
        <v>0</v>
      </c>
      <c r="E46" s="119"/>
      <c r="F46" s="119"/>
      <c r="G46" s="119"/>
      <c r="H46" s="119"/>
      <c r="I46" s="119"/>
    </row>
    <row r="47" spans="1:9" x14ac:dyDescent="0.25">
      <c r="A47" s="66" t="s">
        <v>51</v>
      </c>
    </row>
    <row r="48" spans="1:9" x14ac:dyDescent="0.25">
      <c r="A48" s="134"/>
      <c r="B48" s="134"/>
      <c r="C48" s="134"/>
      <c r="D48" s="134"/>
      <c r="E48" s="134"/>
      <c r="F48" s="134"/>
      <c r="G48" s="134"/>
      <c r="H48" s="134"/>
      <c r="I48" s="134"/>
    </row>
    <row r="49" spans="1:9" x14ac:dyDescent="0.25">
      <c r="A49" s="134"/>
      <c r="B49" s="134"/>
      <c r="C49" s="134"/>
      <c r="D49" s="134"/>
      <c r="E49" s="134"/>
      <c r="F49" s="134"/>
      <c r="G49" s="134"/>
      <c r="H49" s="134"/>
      <c r="I49" s="134"/>
    </row>
    <row r="50" spans="1:9" x14ac:dyDescent="0.25">
      <c r="A50" s="134"/>
      <c r="B50" s="134"/>
      <c r="C50" s="134"/>
      <c r="D50" s="134"/>
      <c r="E50" s="134"/>
      <c r="F50" s="134"/>
      <c r="G50" s="134"/>
      <c r="H50" s="134"/>
      <c r="I50" s="134"/>
    </row>
  </sheetData>
  <mergeCells count="25">
    <mergeCell ref="B42:C42"/>
    <mergeCell ref="B34:C34"/>
    <mergeCell ref="B37:C37"/>
    <mergeCell ref="B38:C38"/>
    <mergeCell ref="B39:C39"/>
    <mergeCell ref="B40:C40"/>
    <mergeCell ref="B41:C41"/>
    <mergeCell ref="B28:C28"/>
    <mergeCell ref="B10:C10"/>
    <mergeCell ref="B11:C11"/>
    <mergeCell ref="B12:C12"/>
    <mergeCell ref="B13:C13"/>
    <mergeCell ref="B14:C14"/>
    <mergeCell ref="B20:C20"/>
    <mergeCell ref="B23:C23"/>
    <mergeCell ref="B24:C24"/>
    <mergeCell ref="B25:C25"/>
    <mergeCell ref="B26:C26"/>
    <mergeCell ref="B27:C27"/>
    <mergeCell ref="B9:C9"/>
    <mergeCell ref="G1:I1"/>
    <mergeCell ref="A2:C2"/>
    <mergeCell ref="E2:F2"/>
    <mergeCell ref="G2:I2"/>
    <mergeCell ref="B6:C6"/>
  </mergeCells>
  <pageMargins left="0.23622047244094491" right="0.23622047244094491" top="0.47244094488188981" bottom="0.39370078740157483" header="0.39370078740157483" footer="0"/>
  <pageSetup scale="9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50"/>
  <sheetViews>
    <sheetView zoomScaleNormal="100" zoomScalePageLayoutView="70" workbookViewId="0">
      <selection activeCell="K9" sqref="K9"/>
    </sheetView>
  </sheetViews>
  <sheetFormatPr defaultColWidth="10.28515625" defaultRowHeight="15" x14ac:dyDescent="0.25"/>
  <cols>
    <col min="1" max="1" width="14.85546875" customWidth="1"/>
    <col min="4" max="5" width="10.28515625" customWidth="1"/>
    <col min="6" max="6" width="16.5703125" customWidth="1"/>
    <col min="8" max="8" width="12" customWidth="1"/>
    <col min="9" max="9" width="4.85546875" customWidth="1"/>
  </cols>
  <sheetData>
    <row r="1" spans="1:9" ht="116.25" customHeight="1" thickBot="1" x14ac:dyDescent="0.6">
      <c r="A1" s="119"/>
      <c r="B1" s="119"/>
      <c r="C1" s="119"/>
      <c r="D1" s="119"/>
      <c r="E1" s="119"/>
      <c r="F1" s="119"/>
      <c r="G1" s="202" t="s">
        <v>10</v>
      </c>
      <c r="H1" s="202"/>
      <c r="I1" s="202"/>
    </row>
    <row r="2" spans="1:9" ht="30" customHeight="1" thickBot="1" x14ac:dyDescent="0.5">
      <c r="A2" s="203" t="s">
        <v>66</v>
      </c>
      <c r="B2" s="204"/>
      <c r="C2" s="204"/>
      <c r="D2" s="132"/>
      <c r="E2" s="205" t="s">
        <v>9</v>
      </c>
      <c r="F2" s="205"/>
      <c r="G2" s="206">
        <v>41428</v>
      </c>
      <c r="H2" s="205"/>
      <c r="I2" s="207"/>
    </row>
    <row r="3" spans="1:9" ht="6.75" customHeight="1" x14ac:dyDescent="0.45">
      <c r="A3" s="102"/>
      <c r="B3" s="103"/>
      <c r="C3" s="103"/>
      <c r="D3" s="103"/>
      <c r="E3" s="103"/>
      <c r="F3" s="103"/>
      <c r="G3" s="103"/>
      <c r="H3" s="103"/>
      <c r="I3" s="103"/>
    </row>
    <row r="4" spans="1:9" ht="6.75" customHeight="1" x14ac:dyDescent="0.25">
      <c r="A4" s="119"/>
      <c r="B4" s="119"/>
      <c r="C4" s="119"/>
      <c r="D4" s="119"/>
      <c r="E4" s="119"/>
      <c r="F4" s="119"/>
      <c r="G4" s="119"/>
      <c r="H4" s="119"/>
      <c r="I4" s="119"/>
    </row>
    <row r="5" spans="1:9" ht="6.75" customHeight="1" thickBot="1" x14ac:dyDescent="0.3">
      <c r="A5" s="119"/>
      <c r="B5" s="119"/>
      <c r="C5" s="119"/>
      <c r="D5" s="119"/>
      <c r="E5" s="119"/>
      <c r="F5" s="119"/>
      <c r="G5" s="119"/>
      <c r="H5" s="119"/>
      <c r="I5" s="119"/>
    </row>
    <row r="6" spans="1:9" ht="15.75" thickBot="1" x14ac:dyDescent="0.3">
      <c r="A6" s="104" t="s">
        <v>8</v>
      </c>
      <c r="B6" s="200" t="s">
        <v>50</v>
      </c>
      <c r="C6" s="201"/>
      <c r="D6" s="106" t="s">
        <v>22</v>
      </c>
      <c r="E6" s="105" t="s">
        <v>4</v>
      </c>
      <c r="F6" s="119"/>
      <c r="G6" s="119"/>
      <c r="H6" s="119"/>
      <c r="I6" s="119"/>
    </row>
    <row r="7" spans="1:9" x14ac:dyDescent="0.25">
      <c r="A7" s="119"/>
      <c r="B7" s="129" t="s">
        <v>2</v>
      </c>
      <c r="C7" s="120"/>
      <c r="D7" s="172">
        <f t="shared" ref="D7:D14" si="0">TIME(, ,E7*28800)</f>
        <v>8.666666666666667E-2</v>
      </c>
      <c r="E7" s="173">
        <v>0.26</v>
      </c>
      <c r="F7" s="119"/>
      <c r="G7" s="119"/>
      <c r="H7" s="119"/>
      <c r="I7" s="119"/>
    </row>
    <row r="8" spans="1:9" x14ac:dyDescent="0.25">
      <c r="A8" s="119"/>
      <c r="B8" s="131" t="s">
        <v>0</v>
      </c>
      <c r="C8" s="117"/>
      <c r="D8" s="109">
        <f t="shared" si="0"/>
        <v>9.6666666666666665E-2</v>
      </c>
      <c r="E8" s="110">
        <f>1-E7-E9-SUM(E10:E13)</f>
        <v>0.28999999999999998</v>
      </c>
      <c r="F8" s="119"/>
      <c r="G8" s="119"/>
      <c r="H8" s="119"/>
      <c r="I8" s="119"/>
    </row>
    <row r="9" spans="1:9" x14ac:dyDescent="0.25">
      <c r="A9" s="119"/>
      <c r="B9" s="208" t="s">
        <v>1</v>
      </c>
      <c r="C9" s="210"/>
      <c r="D9" s="174">
        <f t="shared" si="0"/>
        <v>0</v>
      </c>
      <c r="E9" s="112">
        <v>0</v>
      </c>
      <c r="F9" s="119"/>
      <c r="G9" s="119"/>
      <c r="H9" s="119"/>
      <c r="I9" s="119"/>
    </row>
    <row r="10" spans="1:9" x14ac:dyDescent="0.25">
      <c r="A10" s="119"/>
      <c r="B10" s="198" t="s">
        <v>11</v>
      </c>
      <c r="C10" s="211"/>
      <c r="D10" s="175">
        <f t="shared" si="0"/>
        <v>0</v>
      </c>
      <c r="E10" s="176">
        <v>0</v>
      </c>
      <c r="F10" s="119"/>
      <c r="G10" s="119"/>
      <c r="H10" s="119"/>
      <c r="I10" s="119"/>
    </row>
    <row r="11" spans="1:9" x14ac:dyDescent="0.25">
      <c r="A11" s="119"/>
      <c r="B11" s="198" t="s">
        <v>12</v>
      </c>
      <c r="C11" s="211"/>
      <c r="D11" s="175">
        <f t="shared" si="0"/>
        <v>0</v>
      </c>
      <c r="E11" s="176">
        <v>0</v>
      </c>
      <c r="F11" s="119"/>
      <c r="G11" s="119"/>
      <c r="H11" s="119"/>
      <c r="I11" s="119"/>
    </row>
    <row r="12" spans="1:9" x14ac:dyDescent="0.25">
      <c r="A12" s="119"/>
      <c r="B12" s="198" t="s">
        <v>14</v>
      </c>
      <c r="C12" s="211"/>
      <c r="D12" s="175">
        <f t="shared" si="0"/>
        <v>0.15</v>
      </c>
      <c r="E12" s="176">
        <v>0.45</v>
      </c>
      <c r="F12" s="119"/>
      <c r="G12" s="119"/>
      <c r="H12" s="119"/>
      <c r="I12" s="119"/>
    </row>
    <row r="13" spans="1:9" ht="15.75" thickBot="1" x14ac:dyDescent="0.3">
      <c r="A13" s="119"/>
      <c r="B13" s="198" t="s">
        <v>13</v>
      </c>
      <c r="C13" s="211"/>
      <c r="D13" s="177">
        <f t="shared" si="0"/>
        <v>0</v>
      </c>
      <c r="E13" s="178">
        <v>0</v>
      </c>
      <c r="F13" s="119"/>
      <c r="G13" s="119"/>
      <c r="H13" s="119"/>
      <c r="I13" s="119"/>
    </row>
    <row r="14" spans="1:9" ht="15.75" thickBot="1" x14ac:dyDescent="0.3">
      <c r="A14" s="119"/>
      <c r="B14" s="196" t="s">
        <v>3</v>
      </c>
      <c r="C14" s="197"/>
      <c r="D14" s="115">
        <f t="shared" si="0"/>
        <v>0.33333333333333331</v>
      </c>
      <c r="E14" s="101">
        <f>SUM(E7:E13)</f>
        <v>1</v>
      </c>
      <c r="F14" s="119"/>
      <c r="G14" s="119"/>
      <c r="H14" s="119"/>
      <c r="I14" s="119"/>
    </row>
    <row r="15" spans="1:9" ht="3.75" customHeight="1" x14ac:dyDescent="0.25">
      <c r="A15" s="121">
        <f>D7+D21+D35</f>
        <v>0.54</v>
      </c>
      <c r="B15" s="24" t="s">
        <v>16</v>
      </c>
      <c r="C15" s="24"/>
      <c r="D15" s="122">
        <f>SUM(D10:D13)</f>
        <v>0.15</v>
      </c>
      <c r="E15" s="123"/>
      <c r="F15" s="119"/>
      <c r="G15" s="119"/>
      <c r="H15" s="119"/>
      <c r="I15" s="119"/>
    </row>
    <row r="16" spans="1:9" ht="3.75" customHeight="1" x14ac:dyDescent="0.25">
      <c r="A16" s="36">
        <f>17*3600+40*60+48</f>
        <v>63648</v>
      </c>
      <c r="B16" s="23" t="s">
        <v>2</v>
      </c>
      <c r="C16" s="23"/>
      <c r="D16" s="20">
        <f>D7</f>
        <v>8.666666666666667E-2</v>
      </c>
      <c r="E16" s="123"/>
      <c r="F16" s="119"/>
      <c r="G16" s="119"/>
      <c r="H16" s="119"/>
      <c r="I16" s="119"/>
    </row>
    <row r="17" spans="1:9" ht="3.75" customHeight="1" x14ac:dyDescent="0.25">
      <c r="A17" s="36">
        <f>24*3600</f>
        <v>86400</v>
      </c>
      <c r="B17" s="21" t="s">
        <v>0</v>
      </c>
      <c r="C17" s="21"/>
      <c r="D17" s="22">
        <f>D8</f>
        <v>9.6666666666666665E-2</v>
      </c>
      <c r="E17" s="123"/>
      <c r="F17" s="119"/>
      <c r="G17" s="119"/>
      <c r="H17" s="119"/>
      <c r="I17" s="119"/>
    </row>
    <row r="18" spans="1:9" x14ac:dyDescent="0.25">
      <c r="A18" s="119"/>
      <c r="B18" s="36" t="str">
        <f>B9</f>
        <v>SETUP</v>
      </c>
      <c r="C18" s="119"/>
      <c r="D18" s="124">
        <f>D9</f>
        <v>0</v>
      </c>
      <c r="E18" s="123"/>
      <c r="F18" s="119"/>
      <c r="G18" s="119"/>
      <c r="H18" s="119"/>
      <c r="I18" s="119"/>
    </row>
    <row r="19" spans="1:9" ht="15.75" thickBot="1" x14ac:dyDescent="0.3">
      <c r="A19" s="119"/>
      <c r="B19" s="119"/>
      <c r="C19" s="119"/>
      <c r="D19" s="123"/>
      <c r="E19" s="123"/>
      <c r="F19" s="119"/>
      <c r="G19" s="119"/>
      <c r="H19" s="119"/>
      <c r="I19" s="119"/>
    </row>
    <row r="20" spans="1:9" ht="15.75" thickBot="1" x14ac:dyDescent="0.3">
      <c r="A20" s="104" t="s">
        <v>7</v>
      </c>
      <c r="B20" s="200" t="s">
        <v>50</v>
      </c>
      <c r="C20" s="201"/>
      <c r="D20" s="106" t="s">
        <v>22</v>
      </c>
      <c r="E20" s="105" t="s">
        <v>4</v>
      </c>
      <c r="F20" s="119"/>
      <c r="G20" s="119"/>
      <c r="H20" s="119"/>
      <c r="I20" s="119"/>
    </row>
    <row r="21" spans="1:9" x14ac:dyDescent="0.25">
      <c r="A21" s="119"/>
      <c r="B21" s="129" t="s">
        <v>2</v>
      </c>
      <c r="C21" s="130"/>
      <c r="D21" s="172">
        <f t="shared" ref="D21:D28" si="1">TIME(, ,E21*28800)</f>
        <v>0.19333333333333333</v>
      </c>
      <c r="E21" s="173">
        <v>0.57999999999999996</v>
      </c>
      <c r="F21" s="119"/>
      <c r="G21" s="119"/>
      <c r="H21" s="119"/>
      <c r="I21" s="119"/>
    </row>
    <row r="22" spans="1:9" x14ac:dyDescent="0.25">
      <c r="A22" s="119"/>
      <c r="B22" s="131" t="s">
        <v>0</v>
      </c>
      <c r="C22" s="118"/>
      <c r="D22" s="109">
        <f t="shared" si="1"/>
        <v>5.3333333333333337E-2</v>
      </c>
      <c r="E22" s="110">
        <f>1-E21-E23-SUM(E24:E27)</f>
        <v>0.16000000000000003</v>
      </c>
      <c r="F22" s="119"/>
      <c r="G22" s="119"/>
      <c r="H22" s="119"/>
      <c r="I22" s="119"/>
    </row>
    <row r="23" spans="1:9" x14ac:dyDescent="0.25">
      <c r="A23" s="119"/>
      <c r="B23" s="208" t="s">
        <v>1</v>
      </c>
      <c r="C23" s="209"/>
      <c r="D23" s="174">
        <f t="shared" si="1"/>
        <v>0</v>
      </c>
      <c r="E23" s="112">
        <v>0</v>
      </c>
      <c r="F23" s="119"/>
      <c r="G23" s="119"/>
      <c r="H23" s="119"/>
      <c r="I23" s="119"/>
    </row>
    <row r="24" spans="1:9" x14ac:dyDescent="0.25">
      <c r="A24" s="119"/>
      <c r="B24" s="198" t="s">
        <v>11</v>
      </c>
      <c r="C24" s="199"/>
      <c r="D24" s="175">
        <f t="shared" si="1"/>
        <v>0</v>
      </c>
      <c r="E24" s="176">
        <v>0</v>
      </c>
      <c r="F24" s="119"/>
      <c r="G24" s="119"/>
      <c r="H24" s="119"/>
      <c r="I24" s="119"/>
    </row>
    <row r="25" spans="1:9" x14ac:dyDescent="0.25">
      <c r="A25" s="119"/>
      <c r="B25" s="198" t="s">
        <v>12</v>
      </c>
      <c r="C25" s="199"/>
      <c r="D25" s="175">
        <f t="shared" si="1"/>
        <v>0</v>
      </c>
      <c r="E25" s="176">
        <v>0</v>
      </c>
      <c r="F25" s="119"/>
      <c r="G25" s="119"/>
      <c r="H25" s="119"/>
      <c r="I25" s="119"/>
    </row>
    <row r="26" spans="1:9" x14ac:dyDescent="0.25">
      <c r="A26" s="119"/>
      <c r="B26" s="198" t="s">
        <v>14</v>
      </c>
      <c r="C26" s="199"/>
      <c r="D26" s="175">
        <f t="shared" si="1"/>
        <v>8.666666666666667E-2</v>
      </c>
      <c r="E26" s="176">
        <v>0.26</v>
      </c>
      <c r="F26" s="119"/>
      <c r="G26" s="119"/>
      <c r="H26" s="119"/>
      <c r="I26" s="119"/>
    </row>
    <row r="27" spans="1:9" ht="15.75" thickBot="1" x14ac:dyDescent="0.3">
      <c r="A27" s="119"/>
      <c r="B27" s="198" t="s">
        <v>13</v>
      </c>
      <c r="C27" s="199"/>
      <c r="D27" s="177">
        <f t="shared" si="1"/>
        <v>0</v>
      </c>
      <c r="E27" s="178">
        <v>0</v>
      </c>
      <c r="F27" s="119"/>
      <c r="G27" s="119"/>
      <c r="H27" s="119"/>
      <c r="I27" s="119"/>
    </row>
    <row r="28" spans="1:9" ht="15.75" thickBot="1" x14ac:dyDescent="0.3">
      <c r="A28" s="119"/>
      <c r="B28" s="196" t="s">
        <v>3</v>
      </c>
      <c r="C28" s="197"/>
      <c r="D28" s="115">
        <f t="shared" si="1"/>
        <v>0.33333333333333331</v>
      </c>
      <c r="E28" s="101">
        <f>SUM(E21:E27)</f>
        <v>1</v>
      </c>
      <c r="F28" s="119"/>
      <c r="G28" s="119"/>
      <c r="H28" s="119"/>
      <c r="I28" s="119"/>
    </row>
    <row r="29" spans="1:9" ht="3" customHeight="1" x14ac:dyDescent="0.25">
      <c r="A29" s="119"/>
      <c r="B29" s="25" t="s">
        <v>16</v>
      </c>
      <c r="C29" s="25"/>
      <c r="D29" s="125">
        <f>SUM(D24:D27)</f>
        <v>8.666666666666667E-2</v>
      </c>
      <c r="E29" s="123"/>
      <c r="F29" s="119"/>
      <c r="G29" s="119"/>
      <c r="H29" s="119"/>
      <c r="I29" s="119"/>
    </row>
    <row r="30" spans="1:9" ht="3" customHeight="1" x14ac:dyDescent="0.25">
      <c r="A30" s="119"/>
      <c r="B30" s="28" t="s">
        <v>2</v>
      </c>
      <c r="C30" s="28"/>
      <c r="D30" s="29">
        <f>D21</f>
        <v>0.19333333333333333</v>
      </c>
      <c r="E30" s="123"/>
      <c r="F30" s="119"/>
      <c r="G30" s="119"/>
      <c r="H30" s="119"/>
      <c r="I30" s="119"/>
    </row>
    <row r="31" spans="1:9" ht="3" customHeight="1" x14ac:dyDescent="0.25">
      <c r="A31" s="119"/>
      <c r="B31" s="79" t="s">
        <v>0</v>
      </c>
      <c r="C31" s="79"/>
      <c r="D31" s="126">
        <f>D22</f>
        <v>5.3333333333333337E-2</v>
      </c>
      <c r="E31" s="123"/>
      <c r="F31" s="119"/>
      <c r="G31" s="119"/>
      <c r="H31" s="119"/>
      <c r="I31" s="119"/>
    </row>
    <row r="32" spans="1:9" x14ac:dyDescent="0.25">
      <c r="A32" s="119"/>
      <c r="B32" s="36" t="str">
        <f>B23</f>
        <v>SETUP</v>
      </c>
      <c r="C32" s="119"/>
      <c r="D32" s="124">
        <f>D23</f>
        <v>0</v>
      </c>
      <c r="E32" s="123"/>
      <c r="F32" s="119"/>
      <c r="G32" s="119"/>
      <c r="H32" s="119"/>
      <c r="I32" s="119"/>
    </row>
    <row r="33" spans="1:9" ht="15.75" thickBot="1" x14ac:dyDescent="0.3">
      <c r="A33" s="119"/>
      <c r="B33" s="119"/>
      <c r="C33" s="119"/>
      <c r="D33" s="123"/>
      <c r="E33" s="123"/>
      <c r="F33" s="119"/>
      <c r="G33" s="119"/>
      <c r="H33" s="119"/>
      <c r="I33" s="119"/>
    </row>
    <row r="34" spans="1:9" ht="15.75" thickBot="1" x14ac:dyDescent="0.3">
      <c r="A34" s="104" t="s">
        <v>6</v>
      </c>
      <c r="B34" s="200" t="s">
        <v>50</v>
      </c>
      <c r="C34" s="201"/>
      <c r="D34" s="106" t="s">
        <v>22</v>
      </c>
      <c r="E34" s="105" t="s">
        <v>4</v>
      </c>
      <c r="F34" s="119"/>
      <c r="G34" s="119"/>
      <c r="H34" s="119"/>
      <c r="I34" s="119"/>
    </row>
    <row r="35" spans="1:9" x14ac:dyDescent="0.25">
      <c r="A35" s="119"/>
      <c r="B35" s="129" t="s">
        <v>2</v>
      </c>
      <c r="C35" s="130"/>
      <c r="D35" s="107">
        <f>TIME(, ,E35*28800)</f>
        <v>0.25999999999999995</v>
      </c>
      <c r="E35" s="108">
        <v>0.78</v>
      </c>
      <c r="F35" s="119"/>
      <c r="G35" s="119"/>
      <c r="H35" s="119"/>
      <c r="I35" s="119"/>
    </row>
    <row r="36" spans="1:9" x14ac:dyDescent="0.25">
      <c r="A36" s="119"/>
      <c r="B36" s="131" t="s">
        <v>0</v>
      </c>
      <c r="C36" s="118"/>
      <c r="D36" s="109">
        <f>TIME(, ,E36*28800)</f>
        <v>3.3333333333333335E-3</v>
      </c>
      <c r="E36" s="110">
        <f>1-E35-E37-SUM(E38:E41)</f>
        <v>9.9999999999999811E-3</v>
      </c>
      <c r="F36" s="119"/>
      <c r="G36" s="119"/>
      <c r="H36" s="119"/>
      <c r="I36" s="119"/>
    </row>
    <row r="37" spans="1:9" x14ac:dyDescent="0.25">
      <c r="A37" s="119"/>
      <c r="B37" s="208" t="s">
        <v>1</v>
      </c>
      <c r="C37" s="209"/>
      <c r="D37" s="111">
        <v>0</v>
      </c>
      <c r="E37" s="112">
        <v>0</v>
      </c>
      <c r="F37" s="119"/>
      <c r="G37" s="119"/>
      <c r="H37" s="119"/>
      <c r="I37" s="119"/>
    </row>
    <row r="38" spans="1:9" x14ac:dyDescent="0.25">
      <c r="A38" s="119"/>
      <c r="B38" s="198" t="s">
        <v>11</v>
      </c>
      <c r="C38" s="199"/>
      <c r="D38" s="113">
        <f t="shared" ref="D38:D42" si="2">TIME(, ,E38*28800)</f>
        <v>0</v>
      </c>
      <c r="E38" s="114">
        <v>0</v>
      </c>
      <c r="F38" s="119"/>
      <c r="G38" s="119"/>
      <c r="H38" s="119"/>
      <c r="I38" s="119"/>
    </row>
    <row r="39" spans="1:9" x14ac:dyDescent="0.25">
      <c r="A39" s="119"/>
      <c r="B39" s="198" t="s">
        <v>12</v>
      </c>
      <c r="C39" s="199"/>
      <c r="D39" s="113">
        <f t="shared" si="2"/>
        <v>0</v>
      </c>
      <c r="E39" s="114">
        <v>0</v>
      </c>
      <c r="F39" s="119"/>
      <c r="G39" s="119"/>
      <c r="H39" s="119"/>
      <c r="I39" s="119"/>
    </row>
    <row r="40" spans="1:9" x14ac:dyDescent="0.25">
      <c r="A40" s="119"/>
      <c r="B40" s="198" t="s">
        <v>14</v>
      </c>
      <c r="C40" s="199"/>
      <c r="D40" s="113">
        <f t="shared" si="2"/>
        <v>6.9999999999999993E-2</v>
      </c>
      <c r="E40" s="114">
        <v>0.21</v>
      </c>
      <c r="F40" s="119"/>
      <c r="G40" s="119"/>
      <c r="H40" s="119"/>
      <c r="I40" s="119"/>
    </row>
    <row r="41" spans="1:9" ht="15.75" thickBot="1" x14ac:dyDescent="0.3">
      <c r="A41" s="119"/>
      <c r="B41" s="198" t="s">
        <v>13</v>
      </c>
      <c r="C41" s="199"/>
      <c r="D41" s="183">
        <f t="shared" si="2"/>
        <v>0</v>
      </c>
      <c r="E41" s="184">
        <v>0</v>
      </c>
      <c r="F41" s="119"/>
      <c r="G41" s="119"/>
      <c r="H41" s="119"/>
      <c r="I41" s="119"/>
    </row>
    <row r="42" spans="1:9" ht="15.75" thickBot="1" x14ac:dyDescent="0.3">
      <c r="A42" s="119"/>
      <c r="B42" s="196" t="s">
        <v>3</v>
      </c>
      <c r="C42" s="197"/>
      <c r="D42" s="115">
        <f t="shared" si="2"/>
        <v>0.33333333333333331</v>
      </c>
      <c r="E42" s="101">
        <f>SUM(E35:E41)</f>
        <v>1</v>
      </c>
      <c r="F42" s="119"/>
      <c r="G42" s="119"/>
      <c r="H42" s="119"/>
      <c r="I42" s="119"/>
    </row>
    <row r="43" spans="1:9" x14ac:dyDescent="0.25">
      <c r="A43" s="119"/>
      <c r="B43" s="24" t="s">
        <v>16</v>
      </c>
      <c r="C43" s="24"/>
      <c r="D43" s="122">
        <f>SUM(D38:D41)</f>
        <v>6.9999999999999993E-2</v>
      </c>
      <c r="E43" s="119"/>
      <c r="F43" s="119"/>
      <c r="G43" s="119"/>
      <c r="H43" s="119"/>
      <c r="I43" s="119"/>
    </row>
    <row r="44" spans="1:9" ht="3" customHeight="1" x14ac:dyDescent="0.25">
      <c r="A44" s="119"/>
      <c r="B44" s="23" t="s">
        <v>2</v>
      </c>
      <c r="C44" s="23"/>
      <c r="D44" s="20">
        <f>D35</f>
        <v>0.25999999999999995</v>
      </c>
      <c r="E44" s="119"/>
      <c r="F44" s="119"/>
      <c r="G44" s="119"/>
      <c r="H44" s="119"/>
      <c r="I44" s="119"/>
    </row>
    <row r="45" spans="1:9" ht="3" customHeight="1" x14ac:dyDescent="0.25">
      <c r="A45" s="119"/>
      <c r="B45" s="21" t="s">
        <v>0</v>
      </c>
      <c r="C45" s="21"/>
      <c r="D45" s="22">
        <f>D36</f>
        <v>3.3333333333333335E-3</v>
      </c>
      <c r="E45" s="119"/>
      <c r="F45" s="119"/>
      <c r="G45" s="119"/>
      <c r="H45" s="119"/>
      <c r="I45" s="119"/>
    </row>
    <row r="46" spans="1:9" ht="3" customHeight="1" x14ac:dyDescent="0.25">
      <c r="A46" s="119"/>
      <c r="B46" s="36" t="str">
        <f>B37</f>
        <v>SETUP</v>
      </c>
      <c r="C46" s="36"/>
      <c r="D46" s="121">
        <f>D37</f>
        <v>0</v>
      </c>
      <c r="E46" s="119"/>
      <c r="F46" s="119"/>
      <c r="G46" s="119"/>
      <c r="H46" s="119"/>
      <c r="I46" s="119"/>
    </row>
    <row r="47" spans="1:9" x14ac:dyDescent="0.25">
      <c r="A47" s="66" t="s">
        <v>51</v>
      </c>
    </row>
    <row r="48" spans="1:9" x14ac:dyDescent="0.25">
      <c r="A48" s="134"/>
      <c r="B48" s="134"/>
      <c r="C48" s="134"/>
      <c r="D48" s="134"/>
      <c r="E48" s="134"/>
      <c r="F48" s="134"/>
      <c r="G48" s="134"/>
      <c r="H48" s="134"/>
      <c r="I48" s="134"/>
    </row>
    <row r="49" spans="1:9" x14ac:dyDescent="0.25">
      <c r="A49" s="134"/>
      <c r="B49" s="134"/>
      <c r="C49" s="134"/>
      <c r="D49" s="134"/>
      <c r="E49" s="134"/>
      <c r="F49" s="134"/>
      <c r="G49" s="134"/>
      <c r="H49" s="134"/>
      <c r="I49" s="134"/>
    </row>
    <row r="50" spans="1:9" x14ac:dyDescent="0.25">
      <c r="A50" s="134"/>
      <c r="B50" s="134"/>
      <c r="C50" s="134"/>
      <c r="D50" s="134"/>
      <c r="E50" s="134"/>
      <c r="F50" s="134"/>
      <c r="G50" s="134"/>
      <c r="H50" s="134"/>
      <c r="I50" s="134"/>
    </row>
  </sheetData>
  <mergeCells count="25">
    <mergeCell ref="B42:C42"/>
    <mergeCell ref="B34:C34"/>
    <mergeCell ref="B37:C37"/>
    <mergeCell ref="B38:C38"/>
    <mergeCell ref="B39:C39"/>
    <mergeCell ref="B40:C40"/>
    <mergeCell ref="B41:C41"/>
    <mergeCell ref="B28:C28"/>
    <mergeCell ref="B10:C10"/>
    <mergeCell ref="B11:C11"/>
    <mergeCell ref="B12:C12"/>
    <mergeCell ref="B13:C13"/>
    <mergeCell ref="B14:C14"/>
    <mergeCell ref="B20:C20"/>
    <mergeCell ref="B23:C23"/>
    <mergeCell ref="B24:C24"/>
    <mergeCell ref="B25:C25"/>
    <mergeCell ref="B26:C26"/>
    <mergeCell ref="B27:C27"/>
    <mergeCell ref="B9:C9"/>
    <mergeCell ref="G1:I1"/>
    <mergeCell ref="A2:C2"/>
    <mergeCell ref="E2:F2"/>
    <mergeCell ref="G2:I2"/>
    <mergeCell ref="B6:C6"/>
  </mergeCells>
  <pageMargins left="0.23622047244094491" right="0.23622047244094491" top="0.47244094488188981" bottom="0.39370078740157483" header="0.39370078740157483" footer="0"/>
  <pageSetup scale="9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46"/>
  <sheetViews>
    <sheetView view="pageLayout" zoomScaleNormal="100" workbookViewId="0">
      <selection activeCell="J20" sqref="J20"/>
    </sheetView>
  </sheetViews>
  <sheetFormatPr defaultColWidth="10.28515625" defaultRowHeight="15" x14ac:dyDescent="0.25"/>
  <cols>
    <col min="1" max="1" width="14.85546875" customWidth="1"/>
    <col min="8" max="8" width="12" customWidth="1"/>
    <col min="9" max="9" width="4.85546875" customWidth="1"/>
  </cols>
  <sheetData>
    <row r="1" spans="1:9" ht="30" customHeight="1" x14ac:dyDescent="0.45">
      <c r="A1" s="221" t="s">
        <v>10</v>
      </c>
      <c r="B1" s="222"/>
      <c r="C1" s="223"/>
      <c r="D1" s="17"/>
      <c r="E1" s="224" t="s">
        <v>9</v>
      </c>
      <c r="F1" s="224"/>
      <c r="G1" s="225">
        <v>41428</v>
      </c>
      <c r="H1" s="226"/>
      <c r="I1" s="227"/>
    </row>
    <row r="2" spans="1:9" ht="30" customHeight="1" x14ac:dyDescent="0.45">
      <c r="A2" s="15" t="s">
        <v>17</v>
      </c>
      <c r="B2" s="1"/>
      <c r="C2" s="2"/>
      <c r="D2" s="1"/>
      <c r="E2" s="1"/>
      <c r="F2" s="1"/>
      <c r="G2" s="1"/>
      <c r="H2" s="1"/>
      <c r="I2" s="16"/>
    </row>
    <row r="3" spans="1:9" x14ac:dyDescent="0.25">
      <c r="A3" s="12"/>
      <c r="I3" s="7"/>
    </row>
    <row r="4" spans="1:9" ht="15.75" thickBot="1" x14ac:dyDescent="0.3">
      <c r="A4" s="12"/>
      <c r="I4" s="8"/>
    </row>
    <row r="5" spans="1:9" ht="16.5" thickTop="1" thickBot="1" x14ac:dyDescent="0.3">
      <c r="A5" s="41" t="s">
        <v>8</v>
      </c>
      <c r="B5" s="219"/>
      <c r="C5" s="220"/>
      <c r="D5" s="42" t="s">
        <v>5</v>
      </c>
      <c r="E5" s="42" t="s">
        <v>4</v>
      </c>
      <c r="I5" s="8"/>
    </row>
    <row r="6" spans="1:9" ht="15.75" thickTop="1" x14ac:dyDescent="0.25">
      <c r="A6" s="12"/>
      <c r="B6" s="47" t="s">
        <v>2</v>
      </c>
      <c r="C6" s="48"/>
      <c r="D6" s="49">
        <f>TIME(, ,E6*28800)</f>
        <v>0.3</v>
      </c>
      <c r="E6" s="50">
        <v>0.9</v>
      </c>
      <c r="I6" s="8"/>
    </row>
    <row r="7" spans="1:9" x14ac:dyDescent="0.25">
      <c r="A7" s="12"/>
      <c r="B7" s="44" t="s">
        <v>0</v>
      </c>
      <c r="C7" s="45"/>
      <c r="D7" s="59">
        <f t="shared" ref="D7:D12" si="0">TIME(, ,E7*28800)</f>
        <v>1.6666666666666666E-2</v>
      </c>
      <c r="E7" s="46">
        <v>0.05</v>
      </c>
      <c r="I7" s="8"/>
    </row>
    <row r="8" spans="1:9" x14ac:dyDescent="0.25">
      <c r="A8" s="12"/>
      <c r="B8" s="210" t="s">
        <v>1</v>
      </c>
      <c r="C8" s="218"/>
      <c r="D8" s="75">
        <f t="shared" si="0"/>
        <v>1.6666666666666666E-2</v>
      </c>
      <c r="E8" s="73">
        <v>0.05</v>
      </c>
      <c r="I8" s="8"/>
    </row>
    <row r="9" spans="1:9" x14ac:dyDescent="0.25">
      <c r="A9" s="12"/>
      <c r="B9" s="212" t="s">
        <v>11</v>
      </c>
      <c r="C9" s="213"/>
      <c r="D9" s="61">
        <f t="shared" si="0"/>
        <v>0</v>
      </c>
      <c r="E9" s="53">
        <v>0</v>
      </c>
      <c r="I9" s="8"/>
    </row>
    <row r="10" spans="1:9" x14ac:dyDescent="0.25">
      <c r="A10" s="12"/>
      <c r="B10" s="212" t="s">
        <v>12</v>
      </c>
      <c r="C10" s="213"/>
      <c r="D10" s="61">
        <f t="shared" si="0"/>
        <v>0</v>
      </c>
      <c r="E10" s="53">
        <v>0</v>
      </c>
      <c r="I10" s="8"/>
    </row>
    <row r="11" spans="1:9" x14ac:dyDescent="0.25">
      <c r="A11" s="12"/>
      <c r="B11" s="212" t="s">
        <v>14</v>
      </c>
      <c r="C11" s="213"/>
      <c r="D11" s="61">
        <f t="shared" si="0"/>
        <v>0</v>
      </c>
      <c r="E11" s="53">
        <v>0</v>
      </c>
      <c r="I11" s="8"/>
    </row>
    <row r="12" spans="1:9" x14ac:dyDescent="0.25">
      <c r="A12" s="12"/>
      <c r="B12" s="214" t="s">
        <v>13</v>
      </c>
      <c r="C12" s="215"/>
      <c r="D12" s="52">
        <f t="shared" si="0"/>
        <v>0</v>
      </c>
      <c r="E12" s="54">
        <v>0</v>
      </c>
      <c r="I12" s="8"/>
    </row>
    <row r="13" spans="1:9" x14ac:dyDescent="0.25">
      <c r="A13" s="12"/>
      <c r="B13" s="216" t="s">
        <v>3</v>
      </c>
      <c r="C13" s="217"/>
      <c r="D13" s="64">
        <f>TIME(, ,28800)</f>
        <v>0.33333333333333331</v>
      </c>
      <c r="E13" s="62">
        <f>SUM(E6:E12)</f>
        <v>1</v>
      </c>
      <c r="I13" s="8"/>
    </row>
    <row r="14" spans="1:9" x14ac:dyDescent="0.25">
      <c r="A14" s="85">
        <f>D6+D20+D34</f>
        <v>0.67541666666666667</v>
      </c>
      <c r="B14" s="24" t="s">
        <v>16</v>
      </c>
      <c r="C14" s="18"/>
      <c r="D14" s="19">
        <f>SUM(D9:D12)</f>
        <v>0</v>
      </c>
      <c r="E14" s="4"/>
      <c r="I14" s="8"/>
    </row>
    <row r="15" spans="1:9" x14ac:dyDescent="0.25">
      <c r="A15" s="35">
        <f>16*3600+12*60+36</f>
        <v>58356</v>
      </c>
      <c r="B15" s="23" t="s">
        <v>2</v>
      </c>
      <c r="C15" s="23"/>
      <c r="D15" s="20">
        <f>D6</f>
        <v>0.3</v>
      </c>
      <c r="E15" s="4"/>
      <c r="I15" s="8"/>
    </row>
    <row r="16" spans="1:9" ht="15.75" thickBot="1" x14ac:dyDescent="0.3">
      <c r="A16" s="86">
        <f>24*3600</f>
        <v>86400</v>
      </c>
      <c r="B16" s="32" t="s">
        <v>0</v>
      </c>
      <c r="C16" s="32"/>
      <c r="D16" s="33">
        <f>D7</f>
        <v>1.6666666666666666E-2</v>
      </c>
      <c r="E16" s="6"/>
      <c r="F16" s="5"/>
      <c r="G16" s="5"/>
      <c r="H16" s="5"/>
      <c r="I16" s="9"/>
    </row>
    <row r="17" spans="1:9" ht="15.75" thickTop="1" x14ac:dyDescent="0.25">
      <c r="A17" s="12"/>
      <c r="B17" s="37" t="str">
        <f>B8</f>
        <v>SETUP</v>
      </c>
      <c r="C17" s="37"/>
      <c r="D17" s="76">
        <f>D8</f>
        <v>1.6666666666666666E-2</v>
      </c>
      <c r="E17" s="4"/>
      <c r="I17" s="10"/>
    </row>
    <row r="18" spans="1:9" ht="15.75" thickBot="1" x14ac:dyDescent="0.3">
      <c r="A18" s="12"/>
      <c r="D18" s="4"/>
      <c r="E18" s="4"/>
      <c r="I18" s="8"/>
    </row>
    <row r="19" spans="1:9" ht="16.5" thickTop="1" thickBot="1" x14ac:dyDescent="0.3">
      <c r="A19" s="41" t="s">
        <v>7</v>
      </c>
      <c r="B19" s="219"/>
      <c r="C19" s="220"/>
      <c r="D19" s="42" t="s">
        <v>5</v>
      </c>
      <c r="E19" s="42" t="s">
        <v>4</v>
      </c>
      <c r="I19" s="8"/>
    </row>
    <row r="20" spans="1:9" ht="15.75" thickTop="1" x14ac:dyDescent="0.25">
      <c r="A20" s="14"/>
      <c r="B20" s="47" t="s">
        <v>2</v>
      </c>
      <c r="C20" s="48"/>
      <c r="D20" s="49">
        <f>TIME(, ,E20*28800)</f>
        <v>0.19333333333333333</v>
      </c>
      <c r="E20" s="50">
        <v>0.57999999999999996</v>
      </c>
      <c r="I20" s="8"/>
    </row>
    <row r="21" spans="1:9" x14ac:dyDescent="0.25">
      <c r="A21" s="12"/>
      <c r="B21" s="44" t="s">
        <v>0</v>
      </c>
      <c r="C21" s="45"/>
      <c r="D21" s="59">
        <f t="shared" ref="D21:D26" si="1">TIME(, ,E21*28800)</f>
        <v>6.6666666666666666E-2</v>
      </c>
      <c r="E21" s="46">
        <v>0.2</v>
      </c>
      <c r="I21" s="8"/>
    </row>
    <row r="22" spans="1:9" x14ac:dyDescent="0.25">
      <c r="A22" s="12"/>
      <c r="B22" s="210" t="s">
        <v>1</v>
      </c>
      <c r="C22" s="218"/>
      <c r="D22" s="74">
        <f t="shared" si="1"/>
        <v>3.0000000000000002E-2</v>
      </c>
      <c r="E22" s="73">
        <v>0.09</v>
      </c>
      <c r="I22" s="8"/>
    </row>
    <row r="23" spans="1:9" x14ac:dyDescent="0.25">
      <c r="A23" s="12"/>
      <c r="B23" s="212" t="s">
        <v>11</v>
      </c>
      <c r="C23" s="213"/>
      <c r="D23" s="51">
        <f t="shared" si="1"/>
        <v>0</v>
      </c>
      <c r="E23" s="53">
        <v>0</v>
      </c>
      <c r="I23" s="8"/>
    </row>
    <row r="24" spans="1:9" x14ac:dyDescent="0.25">
      <c r="A24" s="12"/>
      <c r="B24" s="212" t="s">
        <v>12</v>
      </c>
      <c r="C24" s="213"/>
      <c r="D24" s="51">
        <f t="shared" si="1"/>
        <v>4.3333333333333335E-2</v>
      </c>
      <c r="E24" s="53">
        <v>0.13</v>
      </c>
      <c r="I24" s="8"/>
    </row>
    <row r="25" spans="1:9" x14ac:dyDescent="0.25">
      <c r="A25" s="12"/>
      <c r="B25" s="212" t="s">
        <v>14</v>
      </c>
      <c r="C25" s="213"/>
      <c r="D25" s="51">
        <f t="shared" si="1"/>
        <v>0</v>
      </c>
      <c r="E25" s="53">
        <v>0</v>
      </c>
      <c r="I25" s="8"/>
    </row>
    <row r="26" spans="1:9" x14ac:dyDescent="0.25">
      <c r="A26" s="12"/>
      <c r="B26" s="214" t="s">
        <v>13</v>
      </c>
      <c r="C26" s="215"/>
      <c r="D26" s="52">
        <f t="shared" si="1"/>
        <v>0</v>
      </c>
      <c r="E26" s="54">
        <v>0</v>
      </c>
      <c r="I26" s="8"/>
    </row>
    <row r="27" spans="1:9" x14ac:dyDescent="0.25">
      <c r="A27" s="12"/>
      <c r="B27" s="216" t="s">
        <v>3</v>
      </c>
      <c r="C27" s="217"/>
      <c r="D27" s="64">
        <f>TIME(, ,28800)</f>
        <v>0.33333333333333331</v>
      </c>
      <c r="E27" s="62">
        <f>SUM(E20:E26)</f>
        <v>1</v>
      </c>
      <c r="I27" s="8"/>
    </row>
    <row r="28" spans="1:9" x14ac:dyDescent="0.25">
      <c r="A28" s="12"/>
      <c r="B28" s="25" t="s">
        <v>16</v>
      </c>
      <c r="C28" s="26"/>
      <c r="D28" s="27">
        <f>SUM(D23:D26)</f>
        <v>4.3333333333333335E-2</v>
      </c>
      <c r="E28" s="4"/>
      <c r="I28" s="8"/>
    </row>
    <row r="29" spans="1:9" x14ac:dyDescent="0.25">
      <c r="A29" s="12"/>
      <c r="B29" s="28" t="s">
        <v>2</v>
      </c>
      <c r="C29" s="28"/>
      <c r="D29" s="29">
        <f>D20</f>
        <v>0.19333333333333333</v>
      </c>
      <c r="E29" s="4"/>
      <c r="I29" s="8"/>
    </row>
    <row r="30" spans="1:9" ht="15.75" thickBot="1" x14ac:dyDescent="0.3">
      <c r="A30" s="13"/>
      <c r="B30" s="30" t="s">
        <v>0</v>
      </c>
      <c r="C30" s="30"/>
      <c r="D30" s="31">
        <f>D21</f>
        <v>6.6666666666666666E-2</v>
      </c>
      <c r="E30" s="6"/>
      <c r="F30" s="5"/>
      <c r="G30" s="5"/>
      <c r="H30" s="5"/>
      <c r="I30" s="9"/>
    </row>
    <row r="31" spans="1:9" ht="15.75" thickTop="1" x14ac:dyDescent="0.25">
      <c r="A31" s="12"/>
      <c r="B31" s="79" t="str">
        <f>B22</f>
        <v>SETUP</v>
      </c>
      <c r="D31" s="76">
        <f>D22</f>
        <v>3.0000000000000002E-2</v>
      </c>
      <c r="E31" s="4"/>
      <c r="I31" s="8"/>
    </row>
    <row r="32" spans="1:9" ht="15.75" thickBot="1" x14ac:dyDescent="0.3">
      <c r="A32" s="12"/>
      <c r="D32" s="4"/>
      <c r="E32" s="4"/>
      <c r="I32" s="8"/>
    </row>
    <row r="33" spans="1:9" ht="16.5" thickTop="1" thickBot="1" x14ac:dyDescent="0.3">
      <c r="A33" s="41" t="s">
        <v>6</v>
      </c>
      <c r="B33" s="219"/>
      <c r="C33" s="220"/>
      <c r="D33" s="42" t="s">
        <v>5</v>
      </c>
      <c r="E33" s="42" t="s">
        <v>4</v>
      </c>
      <c r="I33" s="8"/>
    </row>
    <row r="34" spans="1:9" ht="15.75" thickTop="1" x14ac:dyDescent="0.25">
      <c r="A34" s="12"/>
      <c r="B34" s="47" t="s">
        <v>2</v>
      </c>
      <c r="C34" s="48"/>
      <c r="D34" s="49">
        <f>TIME(, ,E34*22800)</f>
        <v>0.18208333333333335</v>
      </c>
      <c r="E34" s="50">
        <v>0.69</v>
      </c>
      <c r="I34" s="8"/>
    </row>
    <row r="35" spans="1:9" x14ac:dyDescent="0.25">
      <c r="A35" s="12"/>
      <c r="B35" s="44" t="s">
        <v>0</v>
      </c>
      <c r="C35" s="45"/>
      <c r="D35" s="59">
        <f t="shared" ref="D35:D40" si="2">TIME(, ,E35*22800)</f>
        <v>3.1666666666666669E-2</v>
      </c>
      <c r="E35" s="46">
        <v>0.12</v>
      </c>
      <c r="I35" s="8"/>
    </row>
    <row r="36" spans="1:9" x14ac:dyDescent="0.25">
      <c r="A36" s="12"/>
      <c r="B36" s="210" t="s">
        <v>1</v>
      </c>
      <c r="C36" s="218"/>
      <c r="D36" s="74">
        <f t="shared" si="2"/>
        <v>3.4305555555555554E-2</v>
      </c>
      <c r="E36" s="73">
        <v>0.13</v>
      </c>
      <c r="I36" s="8"/>
    </row>
    <row r="37" spans="1:9" x14ac:dyDescent="0.25">
      <c r="A37" s="12"/>
      <c r="B37" s="212" t="s">
        <v>11</v>
      </c>
      <c r="C37" s="213"/>
      <c r="D37" s="51">
        <f t="shared" si="2"/>
        <v>0</v>
      </c>
      <c r="E37" s="53">
        <v>0</v>
      </c>
      <c r="I37" s="8"/>
    </row>
    <row r="38" spans="1:9" x14ac:dyDescent="0.25">
      <c r="A38" s="12"/>
      <c r="B38" s="212" t="s">
        <v>12</v>
      </c>
      <c r="C38" s="213"/>
      <c r="D38" s="51">
        <f t="shared" si="2"/>
        <v>1.5833333333333335E-2</v>
      </c>
      <c r="E38" s="53">
        <v>0.06</v>
      </c>
      <c r="I38" s="8"/>
    </row>
    <row r="39" spans="1:9" x14ac:dyDescent="0.25">
      <c r="A39" s="12"/>
      <c r="B39" s="212" t="s">
        <v>14</v>
      </c>
      <c r="C39" s="213"/>
      <c r="D39" s="51">
        <f t="shared" si="2"/>
        <v>0</v>
      </c>
      <c r="E39" s="53">
        <v>0</v>
      </c>
      <c r="I39" s="8"/>
    </row>
    <row r="40" spans="1:9" x14ac:dyDescent="0.25">
      <c r="A40" s="12"/>
      <c r="B40" s="214" t="s">
        <v>13</v>
      </c>
      <c r="C40" s="215"/>
      <c r="D40" s="51">
        <f t="shared" si="2"/>
        <v>0</v>
      </c>
      <c r="E40" s="54">
        <v>0</v>
      </c>
      <c r="I40" s="8"/>
    </row>
    <row r="41" spans="1:9" x14ac:dyDescent="0.25">
      <c r="A41" s="12"/>
      <c r="B41" s="216" t="s">
        <v>3</v>
      </c>
      <c r="C41" s="217"/>
      <c r="D41" s="64">
        <f>TIME(, ,28800)</f>
        <v>0.33333333333333331</v>
      </c>
      <c r="E41" s="62">
        <f>SUM(E34:E40)</f>
        <v>1</v>
      </c>
      <c r="I41" s="8"/>
    </row>
    <row r="42" spans="1:9" x14ac:dyDescent="0.25">
      <c r="A42" s="12"/>
      <c r="B42" s="24" t="s">
        <v>16</v>
      </c>
      <c r="C42" s="18"/>
      <c r="D42" s="19">
        <f>SUM(D37:D40)</f>
        <v>1.5833333333333335E-2</v>
      </c>
      <c r="I42" s="8"/>
    </row>
    <row r="43" spans="1:9" x14ac:dyDescent="0.25">
      <c r="A43" s="12"/>
      <c r="B43" s="23" t="s">
        <v>2</v>
      </c>
      <c r="C43" s="23"/>
      <c r="D43" s="20">
        <f>D34</f>
        <v>0.18208333333333335</v>
      </c>
      <c r="I43" s="8"/>
    </row>
    <row r="44" spans="1:9" x14ac:dyDescent="0.25">
      <c r="A44" s="12"/>
      <c r="B44" s="21" t="s">
        <v>0</v>
      </c>
      <c r="C44" s="21"/>
      <c r="D44" s="22">
        <f>D35</f>
        <v>3.1666666666666669E-2</v>
      </c>
      <c r="I44" s="8"/>
    </row>
    <row r="45" spans="1:9" x14ac:dyDescent="0.25">
      <c r="A45" s="34"/>
      <c r="B45" s="77" t="str">
        <f>B36</f>
        <v>SETUP</v>
      </c>
      <c r="C45" s="77"/>
      <c r="D45" s="78">
        <f>D36</f>
        <v>3.4305555555555554E-2</v>
      </c>
      <c r="E45" s="3"/>
      <c r="F45" s="3"/>
      <c r="G45" s="3"/>
      <c r="H45" s="3"/>
      <c r="I45" s="11"/>
    </row>
    <row r="46" spans="1:9" x14ac:dyDescent="0.25">
      <c r="B46" s="37"/>
      <c r="C46" s="37"/>
      <c r="D46" s="37"/>
    </row>
  </sheetData>
  <mergeCells count="24">
    <mergeCell ref="B24:C24"/>
    <mergeCell ref="A1:C1"/>
    <mergeCell ref="E1:F1"/>
    <mergeCell ref="G1:I1"/>
    <mergeCell ref="B8:C8"/>
    <mergeCell ref="B9:C9"/>
    <mergeCell ref="B10:C10"/>
    <mergeCell ref="B11:C11"/>
    <mergeCell ref="B12:C12"/>
    <mergeCell ref="B13:C13"/>
    <mergeCell ref="B22:C22"/>
    <mergeCell ref="B23:C23"/>
    <mergeCell ref="B5:C5"/>
    <mergeCell ref="B19:C19"/>
    <mergeCell ref="B39:C39"/>
    <mergeCell ref="B40:C40"/>
    <mergeCell ref="B41:C41"/>
    <mergeCell ref="B25:C25"/>
    <mergeCell ref="B26:C26"/>
    <mergeCell ref="B27:C27"/>
    <mergeCell ref="B36:C36"/>
    <mergeCell ref="B37:C37"/>
    <mergeCell ref="B38:C38"/>
    <mergeCell ref="B33:C33"/>
  </mergeCells>
  <pageMargins left="0.7" right="0.7" top="0.75" bottom="0.75" header="0.3" footer="0.3"/>
  <pageSetup scale="9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45"/>
  <sheetViews>
    <sheetView showWhiteSpace="0" view="pageLayout" zoomScale="70" zoomScaleNormal="100" zoomScalePageLayoutView="70" workbookViewId="0">
      <selection activeCell="J20" sqref="J20"/>
    </sheetView>
  </sheetViews>
  <sheetFormatPr defaultColWidth="10.28515625" defaultRowHeight="15" x14ac:dyDescent="0.25"/>
  <cols>
    <col min="1" max="1" width="14.85546875" customWidth="1"/>
    <col min="8" max="8" width="12" customWidth="1"/>
    <col min="9" max="9" width="4.85546875" customWidth="1"/>
  </cols>
  <sheetData>
    <row r="1" spans="1:9" ht="30" customHeight="1" x14ac:dyDescent="0.45">
      <c r="A1" s="230" t="s">
        <v>10</v>
      </c>
      <c r="B1" s="231"/>
      <c r="C1" s="232"/>
      <c r="D1" s="58"/>
      <c r="E1" s="233" t="s">
        <v>9</v>
      </c>
      <c r="F1" s="233"/>
      <c r="G1" s="234">
        <v>41428</v>
      </c>
      <c r="H1" s="235"/>
      <c r="I1" s="236"/>
    </row>
    <row r="2" spans="1:9" ht="30" customHeight="1" x14ac:dyDescent="0.45">
      <c r="A2" s="55" t="s">
        <v>23</v>
      </c>
      <c r="B2" s="56"/>
      <c r="C2" s="57"/>
      <c r="D2" s="56"/>
      <c r="E2" s="56"/>
      <c r="F2" s="56"/>
      <c r="G2" s="56"/>
      <c r="H2" s="56"/>
      <c r="I2" s="60"/>
    </row>
    <row r="3" spans="1:9" x14ac:dyDescent="0.25">
      <c r="A3" s="12"/>
      <c r="I3" s="7"/>
    </row>
    <row r="4" spans="1:9" ht="15.75" thickBot="1" x14ac:dyDescent="0.3">
      <c r="A4" s="12"/>
      <c r="I4" s="8"/>
    </row>
    <row r="5" spans="1:9" ht="16.5" thickTop="1" thickBot="1" x14ac:dyDescent="0.3">
      <c r="A5" s="41" t="s">
        <v>8</v>
      </c>
      <c r="B5" s="219"/>
      <c r="C5" s="220"/>
      <c r="D5" s="42" t="s">
        <v>5</v>
      </c>
      <c r="E5" s="42" t="s">
        <v>4</v>
      </c>
      <c r="I5" s="8"/>
    </row>
    <row r="6" spans="1:9" ht="15.75" thickTop="1" x14ac:dyDescent="0.25">
      <c r="A6" s="12"/>
      <c r="B6" s="47" t="s">
        <v>2</v>
      </c>
      <c r="C6" s="48"/>
      <c r="D6" s="49">
        <f>TIME(, ,E6*28800)</f>
        <v>0.25333333333333335</v>
      </c>
      <c r="E6" s="50">
        <v>0.76</v>
      </c>
      <c r="I6" s="8"/>
    </row>
    <row r="7" spans="1:9" x14ac:dyDescent="0.25">
      <c r="A7" s="12"/>
      <c r="B7" s="44" t="s">
        <v>0</v>
      </c>
      <c r="C7" s="45"/>
      <c r="D7" s="59">
        <f t="shared" ref="D7:D12" si="0">TIME(, ,E7*28800)</f>
        <v>3.3333333333333333E-2</v>
      </c>
      <c r="E7" s="46">
        <v>0.1</v>
      </c>
      <c r="I7" s="8"/>
    </row>
    <row r="8" spans="1:9" x14ac:dyDescent="0.25">
      <c r="A8" s="12"/>
      <c r="B8" s="210" t="s">
        <v>1</v>
      </c>
      <c r="C8" s="218"/>
      <c r="D8" s="75">
        <f t="shared" si="0"/>
        <v>3.6666666666666667E-2</v>
      </c>
      <c r="E8" s="73">
        <v>0.11</v>
      </c>
      <c r="I8" s="8"/>
    </row>
    <row r="9" spans="1:9" x14ac:dyDescent="0.25">
      <c r="A9" s="12"/>
      <c r="B9" s="237" t="s">
        <v>11</v>
      </c>
      <c r="C9" s="238"/>
      <c r="D9" s="61">
        <f t="shared" si="0"/>
        <v>0</v>
      </c>
      <c r="E9" s="53">
        <v>0</v>
      </c>
      <c r="I9" s="8"/>
    </row>
    <row r="10" spans="1:9" x14ac:dyDescent="0.25">
      <c r="A10" s="12"/>
      <c r="B10" s="237" t="s">
        <v>12</v>
      </c>
      <c r="C10" s="238"/>
      <c r="D10" s="61">
        <f t="shared" si="0"/>
        <v>0.01</v>
      </c>
      <c r="E10" s="53">
        <v>0.03</v>
      </c>
      <c r="I10" s="8"/>
    </row>
    <row r="11" spans="1:9" x14ac:dyDescent="0.25">
      <c r="A11" s="12"/>
      <c r="B11" s="237" t="s">
        <v>14</v>
      </c>
      <c r="C11" s="238"/>
      <c r="D11" s="61">
        <f t="shared" si="0"/>
        <v>0</v>
      </c>
      <c r="E11" s="53">
        <v>0</v>
      </c>
      <c r="I11" s="8"/>
    </row>
    <row r="12" spans="1:9" x14ac:dyDescent="0.25">
      <c r="A12" s="35"/>
      <c r="B12" s="239" t="s">
        <v>13</v>
      </c>
      <c r="C12" s="240"/>
      <c r="D12" s="52">
        <f t="shared" si="0"/>
        <v>0</v>
      </c>
      <c r="E12" s="54">
        <v>0</v>
      </c>
      <c r="I12" s="8"/>
    </row>
    <row r="13" spans="1:9" x14ac:dyDescent="0.25">
      <c r="A13" s="35"/>
      <c r="B13" s="216" t="s">
        <v>3</v>
      </c>
      <c r="C13" s="217"/>
      <c r="D13" s="64">
        <f>TIME(, ,28800)</f>
        <v>0.33333333333333331</v>
      </c>
      <c r="E13" s="62">
        <f>SUM(E6:E12)</f>
        <v>1</v>
      </c>
      <c r="I13" s="8"/>
    </row>
    <row r="14" spans="1:9" x14ac:dyDescent="0.25">
      <c r="A14" s="85">
        <f>D6+D20+D34</f>
        <v>0.65333333333333332</v>
      </c>
      <c r="B14" s="24" t="s">
        <v>16</v>
      </c>
      <c r="C14" s="18"/>
      <c r="D14" s="19">
        <f>SUM(D9:D12)</f>
        <v>0.01</v>
      </c>
      <c r="E14" s="4"/>
      <c r="I14" s="8"/>
    </row>
    <row r="15" spans="1:9" x14ac:dyDescent="0.25">
      <c r="A15" s="35">
        <f>15*3600+40+48</f>
        <v>54088</v>
      </c>
      <c r="B15" s="23" t="s">
        <v>2</v>
      </c>
      <c r="C15" s="23"/>
      <c r="D15" s="20">
        <f>D6</f>
        <v>0.25333333333333335</v>
      </c>
      <c r="E15" s="4"/>
      <c r="I15" s="8"/>
    </row>
    <row r="16" spans="1:9" ht="15.75" thickBot="1" x14ac:dyDescent="0.3">
      <c r="A16" s="86">
        <f>24*3600</f>
        <v>86400</v>
      </c>
      <c r="B16" s="32" t="s">
        <v>0</v>
      </c>
      <c r="C16" s="32"/>
      <c r="D16" s="33">
        <f>D7</f>
        <v>3.3333333333333333E-2</v>
      </c>
      <c r="E16" s="6"/>
      <c r="F16" s="5"/>
      <c r="G16" s="5"/>
      <c r="H16" s="5"/>
      <c r="I16" s="9"/>
    </row>
    <row r="17" spans="1:9" ht="15.75" thickTop="1" x14ac:dyDescent="0.25">
      <c r="A17" s="12"/>
      <c r="B17" s="37" t="str">
        <f>B8</f>
        <v>SETUP</v>
      </c>
      <c r="C17" s="37"/>
      <c r="D17" s="76">
        <f>D8</f>
        <v>3.6666666666666667E-2</v>
      </c>
      <c r="E17" s="4"/>
      <c r="I17" s="10"/>
    </row>
    <row r="18" spans="1:9" ht="15.75" thickBot="1" x14ac:dyDescent="0.3">
      <c r="A18" s="12"/>
      <c r="D18" s="4"/>
      <c r="E18" s="4"/>
      <c r="I18" s="8"/>
    </row>
    <row r="19" spans="1:9" ht="16.5" thickTop="1" thickBot="1" x14ac:dyDescent="0.3">
      <c r="A19" s="41" t="s">
        <v>7</v>
      </c>
      <c r="B19" s="219"/>
      <c r="C19" s="220"/>
      <c r="D19" s="42" t="s">
        <v>5</v>
      </c>
      <c r="E19" s="42" t="s">
        <v>4</v>
      </c>
      <c r="I19" s="8"/>
    </row>
    <row r="20" spans="1:9" ht="15.75" thickTop="1" x14ac:dyDescent="0.25">
      <c r="A20" s="14"/>
      <c r="B20" s="47" t="s">
        <v>2</v>
      </c>
      <c r="C20" s="48"/>
      <c r="D20" s="49">
        <f>TIME(, ,E20*28800)</f>
        <v>0.13333333333333333</v>
      </c>
      <c r="E20" s="50">
        <v>0.4</v>
      </c>
      <c r="I20" s="8"/>
    </row>
    <row r="21" spans="1:9" x14ac:dyDescent="0.25">
      <c r="A21" s="12"/>
      <c r="B21" s="44" t="s">
        <v>0</v>
      </c>
      <c r="C21" s="45"/>
      <c r="D21" s="59">
        <f t="shared" ref="D21:D26" si="1">TIME(, ,E21*28800)</f>
        <v>8.666666666666667E-2</v>
      </c>
      <c r="E21" s="46">
        <v>0.26</v>
      </c>
      <c r="I21" s="8"/>
    </row>
    <row r="22" spans="1:9" x14ac:dyDescent="0.25">
      <c r="A22" s="12"/>
      <c r="B22" s="228" t="s">
        <v>1</v>
      </c>
      <c r="C22" s="229"/>
      <c r="D22" s="74">
        <f t="shared" si="1"/>
        <v>0.08</v>
      </c>
      <c r="E22" s="73">
        <v>0.24</v>
      </c>
      <c r="I22" s="8"/>
    </row>
    <row r="23" spans="1:9" x14ac:dyDescent="0.25">
      <c r="A23" s="12"/>
      <c r="B23" s="212" t="s">
        <v>11</v>
      </c>
      <c r="C23" s="213"/>
      <c r="D23" s="51">
        <f t="shared" si="1"/>
        <v>0</v>
      </c>
      <c r="E23" s="53">
        <v>0</v>
      </c>
      <c r="I23" s="8"/>
    </row>
    <row r="24" spans="1:9" x14ac:dyDescent="0.25">
      <c r="A24" s="12"/>
      <c r="B24" s="212" t="s">
        <v>12</v>
      </c>
      <c r="C24" s="213"/>
      <c r="D24" s="51">
        <f t="shared" si="1"/>
        <v>3.3333333333333333E-2</v>
      </c>
      <c r="E24" s="53">
        <v>0.1</v>
      </c>
      <c r="I24" s="8"/>
    </row>
    <row r="25" spans="1:9" x14ac:dyDescent="0.25">
      <c r="A25" s="12"/>
      <c r="B25" s="212" t="s">
        <v>14</v>
      </c>
      <c r="C25" s="213"/>
      <c r="D25" s="51">
        <f t="shared" si="1"/>
        <v>0</v>
      </c>
      <c r="E25" s="53">
        <v>0</v>
      </c>
      <c r="I25" s="8"/>
    </row>
    <row r="26" spans="1:9" x14ac:dyDescent="0.25">
      <c r="A26" s="12"/>
      <c r="B26" s="214" t="s">
        <v>13</v>
      </c>
      <c r="C26" s="215"/>
      <c r="D26" s="52">
        <f t="shared" si="1"/>
        <v>0</v>
      </c>
      <c r="E26" s="54">
        <v>0</v>
      </c>
      <c r="I26" s="8"/>
    </row>
    <row r="27" spans="1:9" x14ac:dyDescent="0.25">
      <c r="A27" s="12"/>
      <c r="B27" s="216" t="s">
        <v>3</v>
      </c>
      <c r="C27" s="217"/>
      <c r="D27" s="64">
        <f>TIME(, ,28800)</f>
        <v>0.33333333333333331</v>
      </c>
      <c r="E27" s="62">
        <f>SUM(E20:E26)</f>
        <v>1</v>
      </c>
      <c r="I27" s="8"/>
    </row>
    <row r="28" spans="1:9" x14ac:dyDescent="0.25">
      <c r="A28" s="12"/>
      <c r="B28" s="25" t="s">
        <v>16</v>
      </c>
      <c r="C28" s="26"/>
      <c r="D28" s="27">
        <f>SUM(D23:D26)</f>
        <v>3.3333333333333333E-2</v>
      </c>
      <c r="E28" s="4"/>
      <c r="I28" s="8"/>
    </row>
    <row r="29" spans="1:9" x14ac:dyDescent="0.25">
      <c r="A29" s="12"/>
      <c r="B29" s="28" t="s">
        <v>2</v>
      </c>
      <c r="C29" s="28"/>
      <c r="D29" s="29">
        <f>D20</f>
        <v>0.13333333333333333</v>
      </c>
      <c r="E29" s="4"/>
      <c r="I29" s="8"/>
    </row>
    <row r="30" spans="1:9" ht="15.75" thickBot="1" x14ac:dyDescent="0.3">
      <c r="A30" s="13"/>
      <c r="B30" s="30" t="s">
        <v>0</v>
      </c>
      <c r="C30" s="30"/>
      <c r="D30" s="31">
        <f>D21</f>
        <v>8.666666666666667E-2</v>
      </c>
      <c r="E30" s="6"/>
      <c r="F30" s="5"/>
      <c r="G30" s="5"/>
      <c r="H30" s="5"/>
      <c r="I30" s="9"/>
    </row>
    <row r="31" spans="1:9" ht="15.75" thickTop="1" x14ac:dyDescent="0.25">
      <c r="A31" s="12"/>
      <c r="B31" s="37" t="str">
        <f>B22</f>
        <v>SETUP</v>
      </c>
      <c r="C31" s="37"/>
      <c r="D31" s="76">
        <f>D22</f>
        <v>0.08</v>
      </c>
      <c r="E31" s="4"/>
      <c r="I31" s="8"/>
    </row>
    <row r="32" spans="1:9" ht="15.75" thickBot="1" x14ac:dyDescent="0.3">
      <c r="A32" s="12"/>
      <c r="D32" s="4"/>
      <c r="E32" s="4"/>
      <c r="I32" s="8"/>
    </row>
    <row r="33" spans="1:9" ht="16.5" thickTop="1" thickBot="1" x14ac:dyDescent="0.3">
      <c r="A33" s="41" t="s">
        <v>6</v>
      </c>
      <c r="B33" s="219"/>
      <c r="C33" s="220"/>
      <c r="D33" s="42" t="s">
        <v>5</v>
      </c>
      <c r="E33" s="42" t="s">
        <v>4</v>
      </c>
      <c r="I33" s="8"/>
    </row>
    <row r="34" spans="1:9" ht="15.75" thickTop="1" x14ac:dyDescent="0.25">
      <c r="A34" s="12"/>
      <c r="B34" s="47" t="s">
        <v>2</v>
      </c>
      <c r="C34" s="48"/>
      <c r="D34" s="49">
        <f>TIME(, ,E34*28800)</f>
        <v>0.26666666666666666</v>
      </c>
      <c r="E34" s="50">
        <v>0.8</v>
      </c>
      <c r="I34" s="8"/>
    </row>
    <row r="35" spans="1:9" x14ac:dyDescent="0.25">
      <c r="A35" s="12"/>
      <c r="B35" s="44" t="s">
        <v>0</v>
      </c>
      <c r="C35" s="45"/>
      <c r="D35" s="59">
        <f t="shared" ref="D35:D40" si="2">TIME(, ,E35*28800)</f>
        <v>2.6666666666666668E-2</v>
      </c>
      <c r="E35" s="46">
        <v>0.08</v>
      </c>
      <c r="I35" s="8"/>
    </row>
    <row r="36" spans="1:9" x14ac:dyDescent="0.25">
      <c r="A36" s="12"/>
      <c r="B36" s="228" t="s">
        <v>1</v>
      </c>
      <c r="C36" s="229"/>
      <c r="D36" s="75">
        <f t="shared" si="2"/>
        <v>2.3333333333333334E-2</v>
      </c>
      <c r="E36" s="73">
        <v>7.0000000000000007E-2</v>
      </c>
      <c r="I36" s="8"/>
    </row>
    <row r="37" spans="1:9" x14ac:dyDescent="0.25">
      <c r="A37" s="12"/>
      <c r="B37" s="212" t="s">
        <v>11</v>
      </c>
      <c r="C37" s="213"/>
      <c r="D37" s="61">
        <f t="shared" si="2"/>
        <v>0</v>
      </c>
      <c r="E37" s="53">
        <v>0</v>
      </c>
      <c r="I37" s="8"/>
    </row>
    <row r="38" spans="1:9" x14ac:dyDescent="0.25">
      <c r="A38" s="12"/>
      <c r="B38" s="212" t="s">
        <v>12</v>
      </c>
      <c r="C38" s="213"/>
      <c r="D38" s="61">
        <f t="shared" si="2"/>
        <v>1.6666666666666666E-2</v>
      </c>
      <c r="E38" s="53">
        <v>0.05</v>
      </c>
      <c r="I38" s="8"/>
    </row>
    <row r="39" spans="1:9" x14ac:dyDescent="0.25">
      <c r="A39" s="12"/>
      <c r="B39" s="212" t="s">
        <v>14</v>
      </c>
      <c r="C39" s="213"/>
      <c r="D39" s="61">
        <f t="shared" si="2"/>
        <v>0</v>
      </c>
      <c r="E39" s="53">
        <v>0</v>
      </c>
      <c r="I39" s="8"/>
    </row>
    <row r="40" spans="1:9" x14ac:dyDescent="0.25">
      <c r="A40" s="12"/>
      <c r="B40" s="214" t="s">
        <v>13</v>
      </c>
      <c r="C40" s="215"/>
      <c r="D40" s="52">
        <f t="shared" si="2"/>
        <v>0</v>
      </c>
      <c r="E40" s="54">
        <v>0</v>
      </c>
      <c r="I40" s="8"/>
    </row>
    <row r="41" spans="1:9" x14ac:dyDescent="0.25">
      <c r="A41" s="12"/>
      <c r="B41" s="216" t="s">
        <v>3</v>
      </c>
      <c r="C41" s="217"/>
      <c r="D41" s="64">
        <f>TIME(, ,28800)</f>
        <v>0.33333333333333331</v>
      </c>
      <c r="E41" s="62">
        <f>SUM(E34:E40)</f>
        <v>1</v>
      </c>
      <c r="I41" s="8"/>
    </row>
    <row r="42" spans="1:9" x14ac:dyDescent="0.25">
      <c r="A42" s="12"/>
      <c r="B42" s="24" t="s">
        <v>16</v>
      </c>
      <c r="C42" s="18"/>
      <c r="D42" s="19">
        <f>SUM(D37:D40)</f>
        <v>1.6666666666666666E-2</v>
      </c>
      <c r="I42" s="8"/>
    </row>
    <row r="43" spans="1:9" x14ac:dyDescent="0.25">
      <c r="A43" s="12"/>
      <c r="B43" s="23" t="s">
        <v>2</v>
      </c>
      <c r="C43" s="23"/>
      <c r="D43" s="20">
        <f>D34</f>
        <v>0.26666666666666666</v>
      </c>
      <c r="I43" s="8"/>
    </row>
    <row r="44" spans="1:9" x14ac:dyDescent="0.25">
      <c r="A44" s="12"/>
      <c r="B44" s="21" t="s">
        <v>0</v>
      </c>
      <c r="C44" s="21"/>
      <c r="D44" s="22">
        <f>D35</f>
        <v>2.6666666666666668E-2</v>
      </c>
      <c r="I44" s="8"/>
    </row>
    <row r="45" spans="1:9" x14ac:dyDescent="0.25">
      <c r="A45" s="34"/>
      <c r="B45" s="77" t="str">
        <f>B36</f>
        <v>SETUP</v>
      </c>
      <c r="C45" s="3"/>
      <c r="D45" s="78">
        <f>D36</f>
        <v>2.3333333333333334E-2</v>
      </c>
      <c r="E45" s="3"/>
      <c r="F45" s="3"/>
      <c r="G45" s="3"/>
      <c r="H45" s="3"/>
      <c r="I45" s="11"/>
    </row>
  </sheetData>
  <mergeCells count="24">
    <mergeCell ref="B24:C24"/>
    <mergeCell ref="A1:C1"/>
    <mergeCell ref="E1:F1"/>
    <mergeCell ref="G1:I1"/>
    <mergeCell ref="B8:C8"/>
    <mergeCell ref="B9:C9"/>
    <mergeCell ref="B10:C10"/>
    <mergeCell ref="B11:C11"/>
    <mergeCell ref="B12:C12"/>
    <mergeCell ref="B13:C13"/>
    <mergeCell ref="B22:C22"/>
    <mergeCell ref="B23:C23"/>
    <mergeCell ref="B5:C5"/>
    <mergeCell ref="B19:C19"/>
    <mergeCell ref="B39:C39"/>
    <mergeCell ref="B40:C40"/>
    <mergeCell ref="B41:C41"/>
    <mergeCell ref="B25:C25"/>
    <mergeCell ref="B26:C26"/>
    <mergeCell ref="B27:C27"/>
    <mergeCell ref="B36:C36"/>
    <mergeCell ref="B37:C37"/>
    <mergeCell ref="B38:C38"/>
    <mergeCell ref="B33:C33"/>
  </mergeCells>
  <pageMargins left="0.7" right="0.7" top="0.75" bottom="0.75" header="0.3" footer="0.3"/>
  <pageSetup scale="96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R47"/>
  <sheetViews>
    <sheetView view="pageLayout" zoomScale="70" zoomScaleNormal="100" zoomScalePageLayoutView="70" workbookViewId="0">
      <selection activeCell="K9" sqref="K9"/>
    </sheetView>
  </sheetViews>
  <sheetFormatPr defaultColWidth="10.28515625" defaultRowHeight="15" x14ac:dyDescent="0.25"/>
  <cols>
    <col min="1" max="1" width="14.85546875" style="135" customWidth="1"/>
    <col min="2" max="3" width="10.28515625" style="135"/>
    <col min="4" max="4" width="9.85546875" style="135" customWidth="1"/>
    <col min="5" max="7" width="10.28515625" style="135"/>
    <col min="8" max="8" width="12" style="135" customWidth="1"/>
    <col min="9" max="9" width="4.85546875" style="135" customWidth="1"/>
  </cols>
  <sheetData>
    <row r="1" spans="1:18" ht="96" customHeight="1" thickBot="1" x14ac:dyDescent="0.6">
      <c r="A1" s="242"/>
      <c r="B1" s="242"/>
      <c r="C1" s="242"/>
      <c r="D1" s="148"/>
      <c r="E1" s="243"/>
      <c r="F1" s="243"/>
      <c r="G1" s="244"/>
      <c r="H1" s="244"/>
      <c r="I1" s="244"/>
      <c r="J1" s="119"/>
      <c r="K1" s="119"/>
      <c r="L1" s="119"/>
      <c r="M1" s="119"/>
      <c r="N1" s="119"/>
      <c r="O1" s="119"/>
      <c r="P1" s="202" t="s">
        <v>10</v>
      </c>
      <c r="Q1" s="202"/>
      <c r="R1" s="202"/>
    </row>
    <row r="2" spans="1:18" ht="30" customHeight="1" thickBot="1" x14ac:dyDescent="0.5">
      <c r="A2" s="149"/>
      <c r="B2" s="148"/>
      <c r="C2" s="148"/>
      <c r="D2" s="148"/>
      <c r="E2" s="148"/>
      <c r="F2" s="148"/>
      <c r="G2" s="148"/>
      <c r="H2" s="148"/>
      <c r="I2" s="148"/>
      <c r="J2" s="203" t="s">
        <v>57</v>
      </c>
      <c r="K2" s="204"/>
      <c r="L2" s="204"/>
      <c r="M2" s="132"/>
      <c r="N2" s="205" t="s">
        <v>9</v>
      </c>
      <c r="O2" s="205"/>
      <c r="P2" s="206">
        <v>41428</v>
      </c>
      <c r="Q2" s="205"/>
      <c r="R2" s="207"/>
    </row>
    <row r="3" spans="1:18" x14ac:dyDescent="0.25">
      <c r="A3" s="138"/>
      <c r="I3" s="139"/>
    </row>
    <row r="4" spans="1:18" x14ac:dyDescent="0.25">
      <c r="A4" s="138"/>
      <c r="I4" s="139"/>
    </row>
    <row r="5" spans="1:18" x14ac:dyDescent="0.25">
      <c r="A5" s="138"/>
      <c r="B5" s="147" t="s">
        <v>49</v>
      </c>
      <c r="D5" s="135" t="s">
        <v>5</v>
      </c>
      <c r="F5" s="147" t="s">
        <v>52</v>
      </c>
      <c r="H5" s="135" t="s">
        <v>5</v>
      </c>
      <c r="I5" s="139"/>
    </row>
    <row r="6" spans="1:18" x14ac:dyDescent="0.25">
      <c r="A6" s="138"/>
      <c r="B6" s="135" t="s">
        <v>2</v>
      </c>
      <c r="D6" s="146">
        <f>SUM('Daily - CNC-01 '!D7+'Daily - CNC-01 '!D21+'Daily - CNC-01 '!D35)/3</f>
        <v>0.24555555555555553</v>
      </c>
      <c r="F6" s="135" t="s">
        <v>2</v>
      </c>
      <c r="H6" s="144">
        <f>SUM('Daily - CNC-02'!E7,'Daily - CNC-02'!E21,'Daily - CNC-02'!E35)/3</f>
        <v>0.39666666666666667</v>
      </c>
      <c r="I6" s="139"/>
    </row>
    <row r="7" spans="1:18" x14ac:dyDescent="0.25">
      <c r="A7" s="138"/>
      <c r="B7" s="135" t="s">
        <v>0</v>
      </c>
      <c r="D7" s="146">
        <f>SUM('Daily - CNC-01 '!D8+'Daily - CNC-01 '!D22+'Daily - CNC-01 '!D36)/3</f>
        <v>5.2353395061728397E-2</v>
      </c>
      <c r="F7" s="135" t="s">
        <v>0</v>
      </c>
      <c r="H7" s="144">
        <f>SUM('Daily - CNC-02'!E8,'Daily - CNC-02'!E22,'Daily - CNC-02'!E36)/3</f>
        <v>0.1466666666666667</v>
      </c>
      <c r="I7" s="139"/>
    </row>
    <row r="8" spans="1:18" x14ac:dyDescent="0.25">
      <c r="A8" s="138"/>
      <c r="B8" s="241" t="s">
        <v>1</v>
      </c>
      <c r="C8" s="241"/>
      <c r="D8" s="146">
        <f>SUM('Daily - CNC-01 '!D9+'Daily - CNC-01 '!D23+'Daily - CNC-01 '!D37)/3</f>
        <v>1.8888888888888889E-2</v>
      </c>
      <c r="F8" s="241" t="s">
        <v>1</v>
      </c>
      <c r="G8" s="241"/>
      <c r="H8" s="144">
        <f>SUM('Daily - CNC-02'!E9,'Daily - CNC-02'!E23,'Daily - CNC-02'!E37)/3</f>
        <v>0.06</v>
      </c>
      <c r="I8" s="139"/>
    </row>
    <row r="9" spans="1:18" x14ac:dyDescent="0.25">
      <c r="A9" s="138"/>
      <c r="B9" s="241" t="s">
        <v>11</v>
      </c>
      <c r="C9" s="241"/>
      <c r="D9" s="146">
        <f>SUM('Daily - CNC-01 '!D10+'Daily - CNC-01 '!D24+'Daily - CNC-01 '!D38)</f>
        <v>1.3333333333333334E-2</v>
      </c>
      <c r="F9" s="241" t="s">
        <v>11</v>
      </c>
      <c r="G9" s="241"/>
      <c r="H9" s="144">
        <f>SUM('Daily - CNC-02'!E10,'Daily - CNC-02'!E24,'Daily - CNC-02'!E38)</f>
        <v>1.03</v>
      </c>
      <c r="I9" s="139"/>
    </row>
    <row r="10" spans="1:18" x14ac:dyDescent="0.25">
      <c r="A10" s="138"/>
      <c r="B10" s="241" t="s">
        <v>12</v>
      </c>
      <c r="C10" s="241"/>
      <c r="D10" s="146">
        <f>SUM('Daily - CNC-01 '!D11+'Daily - CNC-01 '!D25+'Daily - CNC-01 '!D39)</f>
        <v>1.9594907407407408E-2</v>
      </c>
      <c r="F10" s="241" t="s">
        <v>12</v>
      </c>
      <c r="G10" s="241"/>
      <c r="H10" s="144">
        <f>SUM('Daily - CNC-02'!E11,'Daily - CNC-02'!E25,'Daily - CNC-02'!E39)</f>
        <v>0.03</v>
      </c>
      <c r="I10" s="139"/>
    </row>
    <row r="11" spans="1:18" x14ac:dyDescent="0.25">
      <c r="A11" s="138"/>
      <c r="B11" s="241" t="s">
        <v>14</v>
      </c>
      <c r="C11" s="241"/>
      <c r="D11" s="146">
        <f>SUM('Daily - CNC-01 '!D12+'Daily - CNC-01 '!D26+'Daily - CNC-01 '!D40)</f>
        <v>1.1331018518518518E-2</v>
      </c>
      <c r="F11" s="241" t="s">
        <v>14</v>
      </c>
      <c r="G11" s="241"/>
      <c r="H11" s="144">
        <f>SUM('Daily - CNC-02'!E12,'Daily - CNC-02'!E26,'Daily - CNC-02'!E40)</f>
        <v>0.01</v>
      </c>
      <c r="I11" s="139"/>
    </row>
    <row r="12" spans="1:18" x14ac:dyDescent="0.25">
      <c r="A12" s="138"/>
      <c r="B12" s="241" t="s">
        <v>13</v>
      </c>
      <c r="C12" s="241"/>
      <c r="D12" s="146">
        <f>SUM('Daily - CNC-01 '!D13+'Daily - CNC-01 '!D27+'Daily - CNC-01 '!D41)</f>
        <v>5.3240740740740748E-3</v>
      </c>
      <c r="F12" s="241" t="s">
        <v>13</v>
      </c>
      <c r="G12" s="241"/>
      <c r="H12" s="144">
        <f>SUM('Daily - CNC-02'!E13,'Daily - CNC-02'!E27,'Daily - CNC-02'!E41)</f>
        <v>0.12</v>
      </c>
      <c r="I12" s="139"/>
    </row>
    <row r="13" spans="1:18" x14ac:dyDescent="0.25">
      <c r="A13" s="138"/>
      <c r="B13" s="241" t="s">
        <v>3</v>
      </c>
      <c r="C13" s="241"/>
      <c r="D13" s="146">
        <f>SUM(D6:D12)</f>
        <v>0.36638117283950616</v>
      </c>
      <c r="F13" s="241" t="s">
        <v>3</v>
      </c>
      <c r="G13" s="241"/>
      <c r="H13" s="144">
        <f>SUM(H6:H12)</f>
        <v>1.7933333333333334</v>
      </c>
      <c r="I13" s="139"/>
    </row>
    <row r="14" spans="1:18" x14ac:dyDescent="0.25">
      <c r="A14" s="138"/>
      <c r="B14" s="135" t="s">
        <v>16</v>
      </c>
      <c r="D14" s="146">
        <f>SUM(D9:D12)/3</f>
        <v>1.652777777777778E-2</v>
      </c>
      <c r="F14" s="135" t="s">
        <v>16</v>
      </c>
      <c r="H14" s="146">
        <f>SUM(H9:H12)/3</f>
        <v>0.39666666666666667</v>
      </c>
      <c r="I14" s="139"/>
    </row>
    <row r="15" spans="1:18" x14ac:dyDescent="0.25">
      <c r="A15" s="138"/>
      <c r="B15" s="135" t="s">
        <v>2</v>
      </c>
      <c r="D15" s="146">
        <f>D6</f>
        <v>0.24555555555555553</v>
      </c>
      <c r="F15" s="135" t="s">
        <v>2</v>
      </c>
      <c r="H15" s="146">
        <f>H6</f>
        <v>0.39666666666666667</v>
      </c>
      <c r="I15" s="139"/>
    </row>
    <row r="16" spans="1:18" x14ac:dyDescent="0.25">
      <c r="A16" s="138"/>
      <c r="B16" s="135" t="s">
        <v>0</v>
      </c>
      <c r="D16" s="146">
        <f>D7</f>
        <v>5.2353395061728397E-2</v>
      </c>
      <c r="F16" s="135" t="s">
        <v>0</v>
      </c>
      <c r="H16" s="146">
        <f>H7</f>
        <v>0.1466666666666667</v>
      </c>
      <c r="I16" s="139"/>
    </row>
    <row r="17" spans="1:9" x14ac:dyDescent="0.25">
      <c r="A17" s="138"/>
      <c r="B17" s="241" t="s">
        <v>1</v>
      </c>
      <c r="C17" s="241"/>
      <c r="D17" s="146">
        <f>D8</f>
        <v>1.8888888888888889E-2</v>
      </c>
      <c r="F17" s="241" t="s">
        <v>1</v>
      </c>
      <c r="G17" s="241"/>
      <c r="H17" s="146">
        <f>H8</f>
        <v>0.06</v>
      </c>
      <c r="I17" s="139"/>
    </row>
    <row r="18" spans="1:9" x14ac:dyDescent="0.25">
      <c r="A18" s="138"/>
      <c r="B18" s="140"/>
      <c r="C18" s="140"/>
      <c r="D18" s="140"/>
      <c r="E18" s="140"/>
      <c r="F18" s="140"/>
      <c r="G18" s="140"/>
      <c r="H18" s="140"/>
      <c r="I18" s="139"/>
    </row>
    <row r="19" spans="1:9" x14ac:dyDescent="0.25">
      <c r="A19" s="138"/>
      <c r="B19" s="147" t="s">
        <v>53</v>
      </c>
      <c r="F19" s="147" t="s">
        <v>54</v>
      </c>
      <c r="I19" s="139"/>
    </row>
    <row r="20" spans="1:9" x14ac:dyDescent="0.25">
      <c r="A20" s="138"/>
      <c r="B20" s="135" t="s">
        <v>2</v>
      </c>
      <c r="D20" s="144">
        <f>SUM('Daily - CNC-03'!E7,'Daily - CNC-03'!E21,'Daily - CNC-03'!E35)/3</f>
        <v>0.66666666666666663</v>
      </c>
      <c r="F20" s="135" t="s">
        <v>2</v>
      </c>
      <c r="H20" s="144">
        <f>SUM('Daily - AUTOCLAVE'!E7,'Daily - AUTOCLAVE'!E21,'Daily - AUTOCLAVE'!E35)/3</f>
        <v>0.64</v>
      </c>
      <c r="I20" s="139"/>
    </row>
    <row r="21" spans="1:9" x14ac:dyDescent="0.25">
      <c r="A21" s="138"/>
      <c r="B21" s="135" t="s">
        <v>0</v>
      </c>
      <c r="D21" s="144">
        <f>SUM('Daily - CNC-03'!E8,'Daily - CNC-03'!E22,'Daily - CNC-03'!E36)/3</f>
        <v>0.1477333333333333</v>
      </c>
      <c r="F21" s="135" t="s">
        <v>0</v>
      </c>
      <c r="H21" s="144">
        <f>SUM('Daily - AUTOCLAVE'!E8,'Daily - AUTOCLAVE'!E22,'Daily - AUTOCLAVE'!E36)/3</f>
        <v>4.9999999999999989E-2</v>
      </c>
      <c r="I21" s="139"/>
    </row>
    <row r="22" spans="1:9" x14ac:dyDescent="0.25">
      <c r="A22" s="138"/>
      <c r="B22" s="241" t="s">
        <v>1</v>
      </c>
      <c r="C22" s="241"/>
      <c r="D22" s="144">
        <f>SUM('Daily - CNC-03'!E9,'Daily - CNC-03'!E23,'Daily - CNC-03'!E37)/3</f>
        <v>7.6666666666666675E-2</v>
      </c>
      <c r="F22" s="241" t="s">
        <v>1</v>
      </c>
      <c r="G22" s="241"/>
      <c r="H22" s="144">
        <f>SUM('Daily - AUTOCLAVE'!E9,'Daily - AUTOCLAVE'!E23,'Daily - AUTOCLAVE'!E37)/3</f>
        <v>4.6666666666666669E-2</v>
      </c>
      <c r="I22" s="139"/>
    </row>
    <row r="23" spans="1:9" x14ac:dyDescent="0.25">
      <c r="A23" s="138"/>
      <c r="B23" s="241" t="s">
        <v>11</v>
      </c>
      <c r="C23" s="241"/>
      <c r="D23" s="144">
        <f>SUM('Daily - CNC-03'!E10,'Daily - CNC-03'!E24,'Daily - CNC-03'!E38)/3</f>
        <v>0.02</v>
      </c>
      <c r="F23" s="241" t="s">
        <v>11</v>
      </c>
      <c r="G23" s="241"/>
      <c r="H23" s="144">
        <f>SUM('Daily - AUTOCLAVE'!E10,'Daily - AUTOCLAVE'!E24,'Daily - AUTOCLAVE'!E38)</f>
        <v>0.06</v>
      </c>
      <c r="I23" s="139"/>
    </row>
    <row r="24" spans="1:9" x14ac:dyDescent="0.25">
      <c r="A24" s="138"/>
      <c r="B24" s="241" t="s">
        <v>12</v>
      </c>
      <c r="C24" s="241"/>
      <c r="D24" s="144">
        <f>SUM('Daily - CNC-03'!E11,'Daily - CNC-03'!E25,'Daily - CNC-03'!E39)/3</f>
        <v>8.5600000000000009E-2</v>
      </c>
      <c r="F24" s="241" t="s">
        <v>12</v>
      </c>
      <c r="G24" s="241"/>
      <c r="H24" s="144">
        <f>SUM('Daily - AUTOCLAVE'!E11,'Daily - AUTOCLAVE'!E25,'Daily - AUTOCLAVE'!E39)</f>
        <v>0.72</v>
      </c>
      <c r="I24" s="139"/>
    </row>
    <row r="25" spans="1:9" x14ac:dyDescent="0.25">
      <c r="A25" s="138"/>
      <c r="B25" s="241" t="s">
        <v>14</v>
      </c>
      <c r="C25" s="241"/>
      <c r="D25" s="144">
        <f>SUM('Daily - CNC-03'!E12,'Daily - CNC-03'!E26,'Daily - CNC-03'!E40)/3</f>
        <v>3.3333333333333335E-3</v>
      </c>
      <c r="F25" s="241" t="s">
        <v>14</v>
      </c>
      <c r="G25" s="241"/>
      <c r="H25" s="144">
        <f>SUM('Daily - AUTOCLAVE'!E12,'Daily - AUTOCLAVE'!E26,'Daily - AUTOCLAVE'!E40)</f>
        <v>0.01</v>
      </c>
      <c r="I25" s="139"/>
    </row>
    <row r="26" spans="1:9" x14ac:dyDescent="0.25">
      <c r="A26" s="138"/>
      <c r="B26" s="241" t="s">
        <v>13</v>
      </c>
      <c r="C26" s="241"/>
      <c r="D26" s="144">
        <f>SUM('Daily - CNC-03'!E13,'Daily - CNC-03'!E27,'Daily - CNC-03'!E41)/3</f>
        <v>0</v>
      </c>
      <c r="F26" s="241" t="s">
        <v>13</v>
      </c>
      <c r="G26" s="241"/>
      <c r="H26" s="144">
        <f>SUM('Daily - AUTOCLAVE'!E13,'Daily - AUTOCLAVE'!E27,'Daily - AUTOCLAVE'!E41)</f>
        <v>0</v>
      </c>
      <c r="I26" s="139"/>
    </row>
    <row r="27" spans="1:9" x14ac:dyDescent="0.25">
      <c r="A27" s="138"/>
      <c r="B27" s="241" t="s">
        <v>3</v>
      </c>
      <c r="C27" s="241"/>
      <c r="D27" s="146">
        <f>SUM(D20:D26)</f>
        <v>0.99999999999999989</v>
      </c>
      <c r="F27" s="241" t="s">
        <v>3</v>
      </c>
      <c r="G27" s="241"/>
      <c r="H27" s="146">
        <f>SUM(H20:H26)</f>
        <v>1.5266666666666666</v>
      </c>
      <c r="I27" s="139"/>
    </row>
    <row r="28" spans="1:9" x14ac:dyDescent="0.25">
      <c r="A28" s="138"/>
      <c r="B28" s="135" t="s">
        <v>16</v>
      </c>
      <c r="D28" s="146">
        <f>SUM(D23:D26)</f>
        <v>0.10893333333333334</v>
      </c>
      <c r="F28" s="135" t="s">
        <v>16</v>
      </c>
      <c r="H28" s="146">
        <f>SUM(H23:H26)/3</f>
        <v>0.26333333333333336</v>
      </c>
      <c r="I28" s="139"/>
    </row>
    <row r="29" spans="1:9" x14ac:dyDescent="0.25">
      <c r="A29" s="138"/>
      <c r="B29" s="135" t="s">
        <v>2</v>
      </c>
      <c r="D29" s="144">
        <f>D20</f>
        <v>0.66666666666666663</v>
      </c>
      <c r="F29" s="135" t="s">
        <v>2</v>
      </c>
      <c r="H29" s="146">
        <f>H20</f>
        <v>0.64</v>
      </c>
      <c r="I29" s="139"/>
    </row>
    <row r="30" spans="1:9" x14ac:dyDescent="0.25">
      <c r="A30" s="138"/>
      <c r="B30" s="135" t="s">
        <v>0</v>
      </c>
      <c r="D30" s="144">
        <f>D21</f>
        <v>0.1477333333333333</v>
      </c>
      <c r="F30" s="135" t="s">
        <v>0</v>
      </c>
      <c r="H30" s="146">
        <f>H21</f>
        <v>4.9999999999999989E-2</v>
      </c>
      <c r="I30" s="139"/>
    </row>
    <row r="31" spans="1:9" x14ac:dyDescent="0.25">
      <c r="A31" s="138"/>
      <c r="B31" s="241" t="s">
        <v>1</v>
      </c>
      <c r="C31" s="241"/>
      <c r="D31" s="145">
        <f>D22</f>
        <v>7.6666666666666675E-2</v>
      </c>
      <c r="F31" s="241" t="s">
        <v>1</v>
      </c>
      <c r="G31" s="241"/>
      <c r="H31" s="146">
        <f>H22</f>
        <v>4.6666666666666669E-2</v>
      </c>
      <c r="I31" s="139"/>
    </row>
    <row r="32" spans="1:9" x14ac:dyDescent="0.25">
      <c r="A32" s="138"/>
      <c r="I32" s="139"/>
    </row>
    <row r="33" spans="1:16" x14ac:dyDescent="0.25">
      <c r="A33" s="138"/>
      <c r="B33" s="147" t="s">
        <v>55</v>
      </c>
      <c r="I33" s="139"/>
      <c r="P33" s="133" t="s">
        <v>58</v>
      </c>
    </row>
    <row r="34" spans="1:16" x14ac:dyDescent="0.25">
      <c r="A34" s="138"/>
      <c r="B34" s="135" t="s">
        <v>2</v>
      </c>
      <c r="D34" s="144">
        <f>SUM('Daily - OVEN 101'!E7,'Daily - OVEN 101'!E21,'Daily - OVEN 101'!E35)/3</f>
        <v>0.54</v>
      </c>
      <c r="F34" s="135" t="s">
        <v>2</v>
      </c>
      <c r="H34" s="135">
        <f>SUM('Daily - NCT'!D6,'Daily - NCT'!D20,'Daily - NCT'!D34)</f>
        <v>0.65333333333333332</v>
      </c>
      <c r="I34" s="139"/>
      <c r="P34" s="133"/>
    </row>
    <row r="35" spans="1:16" x14ac:dyDescent="0.25">
      <c r="A35" s="138"/>
      <c r="B35" s="135" t="s">
        <v>0</v>
      </c>
      <c r="D35" s="144">
        <f>SUM('Daily - OVEN 101'!E8,'Daily - OVEN 101'!E22,'Daily - OVEN 101'!E36)/3</f>
        <v>0.15333333333333332</v>
      </c>
      <c r="F35" s="135" t="s">
        <v>0</v>
      </c>
      <c r="H35" s="135">
        <f>SUM('Daily - NCT'!D7,'Daily - NCT'!D21,'Daily - NCT'!D35)</f>
        <v>0.14666666666666667</v>
      </c>
      <c r="I35" s="139"/>
      <c r="P35" s="133" t="s">
        <v>59</v>
      </c>
    </row>
    <row r="36" spans="1:16" x14ac:dyDescent="0.25">
      <c r="A36" s="138"/>
      <c r="B36" s="241" t="s">
        <v>1</v>
      </c>
      <c r="C36" s="241"/>
      <c r="D36" s="144">
        <f>SUM('Daily - OVEN 101'!E9,'Daily - OVEN 101'!E23,'Daily - OVEN 101'!E37)/3</f>
        <v>0</v>
      </c>
      <c r="F36" s="241" t="s">
        <v>1</v>
      </c>
      <c r="G36" s="241"/>
      <c r="H36" s="135">
        <f>SUM('Daily - NCT'!D8,'Daily - NCT'!D22,'Daily - NCT'!D36)</f>
        <v>0.14000000000000001</v>
      </c>
      <c r="I36" s="139"/>
      <c r="O36" s="135"/>
      <c r="P36" s="133"/>
    </row>
    <row r="37" spans="1:16" x14ac:dyDescent="0.25">
      <c r="A37" s="138"/>
      <c r="B37" s="241" t="s">
        <v>11</v>
      </c>
      <c r="C37" s="241"/>
      <c r="D37" s="144">
        <f>SUM('Daily - OVEN 101'!E10,'Daily - OVEN 101'!E24,'Daily - OVEN 101'!E38)/3</f>
        <v>0</v>
      </c>
      <c r="F37" s="241" t="s">
        <v>11</v>
      </c>
      <c r="G37" s="241"/>
      <c r="H37" s="135">
        <f>SUM('Daily - NCT'!D9,'Daily - NCT'!D23,'Daily - NCT'!D37)</f>
        <v>0</v>
      </c>
      <c r="I37" s="139"/>
      <c r="O37" s="135"/>
      <c r="P37" s="133" t="s">
        <v>60</v>
      </c>
    </row>
    <row r="38" spans="1:16" x14ac:dyDescent="0.25">
      <c r="A38" s="138"/>
      <c r="B38" s="241" t="s">
        <v>12</v>
      </c>
      <c r="C38" s="241"/>
      <c r="D38" s="144">
        <f>SUM('Daily - OVEN 101'!E11,'Daily - OVEN 101'!E25,'Daily - OVEN 101'!E39)/3</f>
        <v>0</v>
      </c>
      <c r="F38" s="241" t="s">
        <v>12</v>
      </c>
      <c r="G38" s="241"/>
      <c r="H38" s="135">
        <f>SUM('Daily - NCT'!D10,'Daily - NCT'!D24,'Daily - NCT'!D38)</f>
        <v>0.06</v>
      </c>
      <c r="I38" s="139"/>
      <c r="O38" s="135"/>
      <c r="P38" s="133"/>
    </row>
    <row r="39" spans="1:16" x14ac:dyDescent="0.25">
      <c r="A39" s="138"/>
      <c r="B39" s="241" t="s">
        <v>14</v>
      </c>
      <c r="C39" s="241"/>
      <c r="D39" s="144">
        <f>SUM('Daily - OVEN 101'!E12,'Daily - OVEN 101'!E26,'Daily - OVEN 101'!E40)/3</f>
        <v>0.30666666666666664</v>
      </c>
      <c r="F39" s="241" t="s">
        <v>14</v>
      </c>
      <c r="G39" s="241"/>
      <c r="H39" s="135">
        <f>SUM('Daily - NCT'!D11,'Daily - NCT'!D25,'Daily - NCT'!D39)</f>
        <v>0</v>
      </c>
      <c r="I39" s="139"/>
      <c r="O39" s="135"/>
      <c r="P39" s="133" t="s">
        <v>16</v>
      </c>
    </row>
    <row r="40" spans="1:16" x14ac:dyDescent="0.25">
      <c r="A40" s="138"/>
      <c r="B40" s="241" t="s">
        <v>13</v>
      </c>
      <c r="C40" s="241"/>
      <c r="D40" s="144">
        <f>SUM('Daily - OVEN 101'!E13,'Daily - OVEN 101'!E27,'Daily - OVEN 101'!E41)/3</f>
        <v>0</v>
      </c>
      <c r="F40" s="241" t="s">
        <v>13</v>
      </c>
      <c r="G40" s="241"/>
      <c r="H40" s="135">
        <f>SUM('Daily - NCT'!D12,'Daily - NCT'!D26,'Daily - NCT'!D40)</f>
        <v>0</v>
      </c>
      <c r="I40" s="139"/>
      <c r="O40" s="135"/>
    </row>
    <row r="41" spans="1:16" x14ac:dyDescent="0.25">
      <c r="A41" s="138"/>
      <c r="B41" s="241" t="s">
        <v>3</v>
      </c>
      <c r="C41" s="241"/>
      <c r="D41" s="146">
        <f>SUM(D34:D40)</f>
        <v>1</v>
      </c>
      <c r="F41" s="241"/>
      <c r="G41" s="241"/>
      <c r="I41" s="139"/>
      <c r="O41" s="135"/>
    </row>
    <row r="42" spans="1:16" x14ac:dyDescent="0.25">
      <c r="A42" s="138"/>
      <c r="B42" s="135" t="s">
        <v>16</v>
      </c>
      <c r="D42" s="146">
        <f>SUM(D37:D40)/3</f>
        <v>0.10222222222222221</v>
      </c>
      <c r="F42" s="135" t="s">
        <v>16</v>
      </c>
      <c r="H42" s="135">
        <f>SUM(H37:H40)</f>
        <v>0.06</v>
      </c>
      <c r="I42" s="139"/>
      <c r="O42" s="135"/>
    </row>
    <row r="43" spans="1:16" x14ac:dyDescent="0.25">
      <c r="A43" s="138"/>
      <c r="B43" s="135" t="s">
        <v>2</v>
      </c>
      <c r="D43" s="146">
        <f>D34</f>
        <v>0.54</v>
      </c>
      <c r="F43" s="135" t="s">
        <v>2</v>
      </c>
      <c r="H43" s="135">
        <f>H34</f>
        <v>0.65333333333333332</v>
      </c>
      <c r="I43" s="139"/>
      <c r="O43" s="135"/>
    </row>
    <row r="44" spans="1:16" x14ac:dyDescent="0.25">
      <c r="A44" s="138"/>
      <c r="B44" s="135" t="s">
        <v>0</v>
      </c>
      <c r="D44" s="146">
        <f>D35</f>
        <v>0.15333333333333332</v>
      </c>
      <c r="F44" s="135" t="s">
        <v>0</v>
      </c>
      <c r="H44" s="135">
        <f>H35</f>
        <v>0.14666666666666667</v>
      </c>
      <c r="I44" s="139"/>
      <c r="O44" s="135"/>
    </row>
    <row r="45" spans="1:16" x14ac:dyDescent="0.25">
      <c r="A45" s="138"/>
      <c r="B45" s="241" t="s">
        <v>1</v>
      </c>
      <c r="C45" s="241"/>
      <c r="D45" s="146"/>
      <c r="E45" s="140"/>
      <c r="F45" s="135" t="s">
        <v>30</v>
      </c>
      <c r="H45" s="135">
        <v>0.14000000000000001</v>
      </c>
      <c r="I45" s="139"/>
      <c r="O45" s="135"/>
    </row>
    <row r="46" spans="1:16" x14ac:dyDescent="0.25">
      <c r="A46" s="138"/>
      <c r="I46" s="139"/>
    </row>
    <row r="47" spans="1:16" x14ac:dyDescent="0.25">
      <c r="A47" s="141"/>
      <c r="B47" s="142"/>
      <c r="C47" s="142"/>
      <c r="D47" s="142"/>
      <c r="E47" s="142"/>
      <c r="F47" s="142"/>
      <c r="G47" s="142"/>
      <c r="H47" s="142"/>
      <c r="I47" s="143"/>
    </row>
  </sheetData>
  <mergeCells count="48">
    <mergeCell ref="F27:G27"/>
    <mergeCell ref="B10:C10"/>
    <mergeCell ref="B24:C24"/>
    <mergeCell ref="B45:C45"/>
    <mergeCell ref="P1:R1"/>
    <mergeCell ref="J2:L2"/>
    <mergeCell ref="N2:O2"/>
    <mergeCell ref="P2:R2"/>
    <mergeCell ref="B12:C12"/>
    <mergeCell ref="B13:C13"/>
    <mergeCell ref="A1:C1"/>
    <mergeCell ref="E1:F1"/>
    <mergeCell ref="F26:G26"/>
    <mergeCell ref="B17:C17"/>
    <mergeCell ref="G1:I1"/>
    <mergeCell ref="B8:C8"/>
    <mergeCell ref="B9:C9"/>
    <mergeCell ref="F24:G24"/>
    <mergeCell ref="F25:G25"/>
    <mergeCell ref="B11:C11"/>
    <mergeCell ref="B22:C22"/>
    <mergeCell ref="B23:C23"/>
    <mergeCell ref="B25:C25"/>
    <mergeCell ref="F8:G8"/>
    <mergeCell ref="F11:G11"/>
    <mergeCell ref="F12:G12"/>
    <mergeCell ref="F13:G13"/>
    <mergeCell ref="F23:G23"/>
    <mergeCell ref="F17:G17"/>
    <mergeCell ref="F22:G22"/>
    <mergeCell ref="F10:G10"/>
    <mergeCell ref="F9:G9"/>
    <mergeCell ref="F31:G31"/>
    <mergeCell ref="B26:C26"/>
    <mergeCell ref="B27:C27"/>
    <mergeCell ref="B31:C31"/>
    <mergeCell ref="F41:G41"/>
    <mergeCell ref="F36:G36"/>
    <mergeCell ref="F37:G37"/>
    <mergeCell ref="B36:C36"/>
    <mergeCell ref="B37:C37"/>
    <mergeCell ref="B38:C38"/>
    <mergeCell ref="B39:C39"/>
    <mergeCell ref="B40:C40"/>
    <mergeCell ref="F38:G38"/>
    <mergeCell ref="F39:G39"/>
    <mergeCell ref="F40:G40"/>
    <mergeCell ref="B41:C41"/>
  </mergeCells>
  <pageMargins left="0.7" right="0.7" top="0.75" bottom="0.75" header="0.3" footer="0.3"/>
  <pageSetup scale="9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1"/>
  <sheetViews>
    <sheetView zoomScaleNormal="100" zoomScalePageLayoutView="115" workbookViewId="0"/>
  </sheetViews>
  <sheetFormatPr defaultRowHeight="15" x14ac:dyDescent="0.25"/>
  <cols>
    <col min="4" max="4" width="3.28515625" customWidth="1"/>
    <col min="5" max="5" width="20.140625" customWidth="1"/>
    <col min="6" max="6" width="3" customWidth="1"/>
    <col min="7" max="7" width="20.7109375" bestFit="1" customWidth="1"/>
    <col min="8" max="8" width="1.28515625" customWidth="1"/>
  </cols>
  <sheetData>
    <row r="1" spans="1:9" ht="75.75" customHeight="1" x14ac:dyDescent="0.25"/>
    <row r="2" spans="1:9" ht="28.5" x14ac:dyDescent="0.45">
      <c r="A2" s="245" t="s">
        <v>24</v>
      </c>
      <c r="B2" s="246"/>
      <c r="C2" s="247"/>
      <c r="D2" s="248" t="s">
        <v>62</v>
      </c>
      <c r="E2" s="249"/>
      <c r="F2" s="249"/>
      <c r="G2" s="249"/>
      <c r="H2" s="249"/>
      <c r="I2" s="250"/>
    </row>
    <row r="3" spans="1:9" ht="28.5" x14ac:dyDescent="0.45">
      <c r="A3" s="67" t="s">
        <v>61</v>
      </c>
      <c r="B3" s="56"/>
      <c r="C3" s="57"/>
      <c r="D3" s="68"/>
      <c r="E3" s="96">
        <v>41277</v>
      </c>
      <c r="F3" s="69" t="s">
        <v>28</v>
      </c>
      <c r="G3" s="96">
        <v>41428</v>
      </c>
      <c r="H3" s="68"/>
      <c r="I3" s="70"/>
    </row>
    <row r="5" spans="1:9" x14ac:dyDescent="0.25">
      <c r="A5" s="66" t="s">
        <v>25</v>
      </c>
    </row>
    <row r="18" spans="1:4" x14ac:dyDescent="0.25">
      <c r="A18" s="66" t="s">
        <v>26</v>
      </c>
    </row>
    <row r="19" spans="1:4" x14ac:dyDescent="0.25">
      <c r="D19" s="72"/>
    </row>
    <row r="31" spans="1:4" x14ac:dyDescent="0.25">
      <c r="A31" s="66" t="s">
        <v>29</v>
      </c>
    </row>
  </sheetData>
  <mergeCells count="2">
    <mergeCell ref="A2:C2"/>
    <mergeCell ref="D2:I2"/>
  </mergeCells>
  <pageMargins left="0.70866141732283472" right="0.70866141732283472" top="0.74803149606299213" bottom="0" header="0.31496062992125984" footer="0.31496062992125984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55"/>
  <sheetViews>
    <sheetView zoomScale="115" zoomScaleNormal="115" workbookViewId="0">
      <selection activeCell="C2" sqref="C2"/>
    </sheetView>
  </sheetViews>
  <sheetFormatPr defaultRowHeight="15" x14ac:dyDescent="0.25"/>
  <cols>
    <col min="1" max="1" width="9.140625" style="38"/>
    <col min="2" max="2" width="3.85546875" style="37" customWidth="1"/>
    <col min="3" max="3" width="12.140625" style="65" customWidth="1"/>
    <col min="4" max="4" width="4.5703125" style="71" customWidth="1"/>
    <col min="5" max="5" width="10.140625" style="65" customWidth="1"/>
    <col min="6" max="6" width="6" customWidth="1"/>
    <col min="7" max="7" width="6.140625" style="71" customWidth="1"/>
    <col min="8" max="8" width="10.85546875" style="65" customWidth="1"/>
  </cols>
  <sheetData>
    <row r="1" spans="1:8" x14ac:dyDescent="0.25">
      <c r="A1" s="38" t="s">
        <v>15</v>
      </c>
    </row>
    <row r="2" spans="1:8" x14ac:dyDescent="0.25">
      <c r="C2" s="150">
        <f ca="1">TREND(C4:C155)</f>
        <v>0.39185406855305077</v>
      </c>
      <c r="E2" s="150">
        <f ca="1">TREND(E4:E155)</f>
        <v>0.3685052213356601</v>
      </c>
      <c r="H2" s="150">
        <f ca="1">TREND(H4:H155)</f>
        <v>0.4675487083273081</v>
      </c>
    </row>
    <row r="3" spans="1:8" x14ac:dyDescent="0.25">
      <c r="A3" s="39" t="s">
        <v>18</v>
      </c>
      <c r="C3" s="63" t="s">
        <v>19</v>
      </c>
      <c r="E3" s="63" t="s">
        <v>20</v>
      </c>
      <c r="H3" s="63" t="s">
        <v>21</v>
      </c>
    </row>
    <row r="4" spans="1:8" x14ac:dyDescent="0.25">
      <c r="A4" s="38">
        <v>41277</v>
      </c>
      <c r="B4" s="40">
        <f>B6-0.1</f>
        <v>0.18099999999999969</v>
      </c>
      <c r="C4" s="65">
        <f t="shared" ref="C4:C36" ca="1" si="0">RAND()*0.08+B4-0.02</f>
        <v>0.1615336010962648</v>
      </c>
      <c r="D4" s="71">
        <f t="shared" ref="D4:D36" si="1">D5-0.005</f>
        <v>0.3501000000000003</v>
      </c>
      <c r="E4" s="65">
        <f ca="1">RAND()*0.2+D4-0.2</f>
        <v>0.19684052642552502</v>
      </c>
      <c r="G4" s="71">
        <v>0.23</v>
      </c>
      <c r="H4" s="65">
        <f ca="1">RAND()*0.2+G4-0.2</f>
        <v>0.17881587243712405</v>
      </c>
    </row>
    <row r="5" spans="1:8" x14ac:dyDescent="0.25">
      <c r="A5" s="38">
        <f t="shared" ref="A5:A36" si="2">A4+1</f>
        <v>41278</v>
      </c>
      <c r="B5" s="40">
        <f>B7-0.1</f>
        <v>0.43099999999999972</v>
      </c>
      <c r="C5" s="65">
        <f t="shared" ca="1" si="0"/>
        <v>0.46300060084146749</v>
      </c>
      <c r="D5" s="71">
        <f t="shared" si="1"/>
        <v>0.3551000000000003</v>
      </c>
      <c r="E5" s="65">
        <f t="shared" ref="E5:E68" ca="1" si="3">RAND()*0.2+D5-0.2</f>
        <v>0.27508303925118488</v>
      </c>
      <c r="G5" s="71">
        <v>0.22</v>
      </c>
      <c r="H5" s="65">
        <f t="shared" ref="H5:H68" ca="1" si="4">RAND()*0.2+G5-0.2</f>
        <v>8.4515327540708007E-2</v>
      </c>
    </row>
    <row r="6" spans="1:8" x14ac:dyDescent="0.25">
      <c r="A6" s="38">
        <f t="shared" si="2"/>
        <v>41279</v>
      </c>
      <c r="B6" s="40">
        <f>B8-0.1</f>
        <v>0.28099999999999969</v>
      </c>
      <c r="C6" s="65">
        <f t="shared" ca="1" si="0"/>
        <v>0.30439524825799885</v>
      </c>
      <c r="D6" s="71">
        <f t="shared" si="1"/>
        <v>0.36010000000000031</v>
      </c>
      <c r="E6" s="65">
        <f t="shared" ca="1" si="3"/>
        <v>0.25855810271901219</v>
      </c>
      <c r="G6" s="71">
        <v>0.24</v>
      </c>
      <c r="H6" s="65">
        <f t="shared" ca="1" si="4"/>
        <v>7.941473807673799E-2</v>
      </c>
    </row>
    <row r="7" spans="1:8" x14ac:dyDescent="0.25">
      <c r="A7" s="38">
        <f t="shared" si="2"/>
        <v>41280</v>
      </c>
      <c r="B7" s="40">
        <f>B9-0.1</f>
        <v>0.53099999999999969</v>
      </c>
      <c r="C7" s="65">
        <f t="shared" ca="1" si="0"/>
        <v>0.53376346533703201</v>
      </c>
      <c r="D7" s="71">
        <f t="shared" si="1"/>
        <v>0.36510000000000031</v>
      </c>
      <c r="E7" s="65">
        <f t="shared" ca="1" si="3"/>
        <v>0.19633232817369178</v>
      </c>
      <c r="G7" s="71">
        <v>0.32</v>
      </c>
      <c r="H7" s="65">
        <f t="shared" ca="1" si="4"/>
        <v>0.30668404672053001</v>
      </c>
    </row>
    <row r="8" spans="1:8" x14ac:dyDescent="0.25">
      <c r="A8" s="38">
        <f t="shared" si="2"/>
        <v>41281</v>
      </c>
      <c r="B8" s="40">
        <f>B10-0.1</f>
        <v>0.38099999999999967</v>
      </c>
      <c r="C8" s="65">
        <f t="shared" ca="1" si="0"/>
        <v>0.42873726337980678</v>
      </c>
      <c r="D8" s="71">
        <f t="shared" si="1"/>
        <v>0.37010000000000032</v>
      </c>
      <c r="E8" s="65">
        <f t="shared" ca="1" si="3"/>
        <v>0.24466858516093987</v>
      </c>
      <c r="G8" s="71">
        <v>0.25</v>
      </c>
      <c r="H8" s="65">
        <f t="shared" ca="1" si="4"/>
        <v>0.16261737805786963</v>
      </c>
    </row>
    <row r="9" spans="1:8" x14ac:dyDescent="0.25">
      <c r="A9" s="38">
        <f t="shared" si="2"/>
        <v>41282</v>
      </c>
      <c r="B9" s="40">
        <f>B10+0.15</f>
        <v>0.63099999999999967</v>
      </c>
      <c r="C9" s="65">
        <f t="shared" ca="1" si="0"/>
        <v>0.6678835984240632</v>
      </c>
      <c r="D9" s="71">
        <f t="shared" si="1"/>
        <v>0.37510000000000032</v>
      </c>
      <c r="E9" s="65">
        <f t="shared" ca="1" si="3"/>
        <v>0.23551960136964406</v>
      </c>
      <c r="G9" s="71">
        <f t="shared" ref="G9:G22" si="5">G10-0.036</f>
        <v>0.21820000000000292</v>
      </c>
      <c r="H9" s="65">
        <f t="shared" ca="1" si="4"/>
        <v>0.21264811498085617</v>
      </c>
    </row>
    <row r="10" spans="1:8" x14ac:dyDescent="0.25">
      <c r="A10" s="38">
        <f t="shared" si="2"/>
        <v>41283</v>
      </c>
      <c r="B10" s="40">
        <f>B11+0.15</f>
        <v>0.48099999999999965</v>
      </c>
      <c r="C10" s="65">
        <f t="shared" ca="1" si="0"/>
        <v>0.48934420565290981</v>
      </c>
      <c r="D10" s="71">
        <f t="shared" si="1"/>
        <v>0.38010000000000033</v>
      </c>
      <c r="E10" s="65">
        <f t="shared" ca="1" si="3"/>
        <v>0.28911800100103502</v>
      </c>
      <c r="G10" s="71">
        <f t="shared" si="5"/>
        <v>0.25420000000000292</v>
      </c>
      <c r="H10" s="65">
        <f t="shared" ca="1" si="4"/>
        <v>8.6089345492810332E-2</v>
      </c>
    </row>
    <row r="11" spans="1:8" x14ac:dyDescent="0.25">
      <c r="A11" s="38">
        <f t="shared" si="2"/>
        <v>41284</v>
      </c>
      <c r="B11" s="40">
        <f t="shared" ref="B11:B17" si="6">B12-0.01</f>
        <v>0.33099999999999963</v>
      </c>
      <c r="C11" s="65">
        <f t="shared" ca="1" si="0"/>
        <v>0.35087424990933769</v>
      </c>
      <c r="D11" s="71">
        <f t="shared" si="1"/>
        <v>0.38510000000000033</v>
      </c>
      <c r="E11" s="65">
        <f t="shared" ca="1" si="3"/>
        <v>0.27145303772258983</v>
      </c>
      <c r="G11" s="71">
        <f t="shared" si="5"/>
        <v>0.2902000000000029</v>
      </c>
      <c r="H11" s="65">
        <f t="shared" ca="1" si="4"/>
        <v>0.17447451762780691</v>
      </c>
    </row>
    <row r="12" spans="1:8" x14ac:dyDescent="0.25">
      <c r="A12" s="38">
        <f t="shared" si="2"/>
        <v>41285</v>
      </c>
      <c r="B12" s="40">
        <f t="shared" si="6"/>
        <v>0.34099999999999964</v>
      </c>
      <c r="C12" s="65">
        <f t="shared" ca="1" si="0"/>
        <v>0.32783700824158679</v>
      </c>
      <c r="D12" s="71">
        <f t="shared" si="1"/>
        <v>0.39010000000000034</v>
      </c>
      <c r="E12" s="65">
        <f t="shared" ca="1" si="3"/>
        <v>0.33169606588444961</v>
      </c>
      <c r="G12" s="71">
        <f t="shared" si="5"/>
        <v>0.32620000000000288</v>
      </c>
      <c r="H12" s="65">
        <f t="shared" ca="1" si="4"/>
        <v>0.30101619433184051</v>
      </c>
    </row>
    <row r="13" spans="1:8" x14ac:dyDescent="0.25">
      <c r="A13" s="38">
        <f t="shared" si="2"/>
        <v>41286</v>
      </c>
      <c r="B13" s="40">
        <f t="shared" si="6"/>
        <v>0.35099999999999965</v>
      </c>
      <c r="C13" s="65">
        <f t="shared" ca="1" si="0"/>
        <v>0.33198902857474466</v>
      </c>
      <c r="D13" s="71">
        <f t="shared" si="1"/>
        <v>0.39510000000000034</v>
      </c>
      <c r="E13" s="65">
        <f t="shared" ca="1" si="3"/>
        <v>0.26985304948770228</v>
      </c>
      <c r="G13" s="71">
        <f t="shared" si="5"/>
        <v>0.36220000000000285</v>
      </c>
      <c r="H13" s="65">
        <f t="shared" ca="1" si="4"/>
        <v>0.30889510682209614</v>
      </c>
    </row>
    <row r="14" spans="1:8" x14ac:dyDescent="0.25">
      <c r="A14" s="38">
        <f t="shared" si="2"/>
        <v>41287</v>
      </c>
      <c r="B14" s="40">
        <f t="shared" si="6"/>
        <v>0.36099999999999965</v>
      </c>
      <c r="C14" s="65">
        <f t="shared" ca="1" si="0"/>
        <v>0.39763280496027587</v>
      </c>
      <c r="D14" s="71">
        <f t="shared" si="1"/>
        <v>0.40010000000000034</v>
      </c>
      <c r="E14" s="65">
        <f t="shared" ca="1" si="3"/>
        <v>0.37396304286614684</v>
      </c>
      <c r="G14" s="71">
        <f t="shared" si="5"/>
        <v>0.39820000000000283</v>
      </c>
      <c r="H14" s="65">
        <f t="shared" ca="1" si="4"/>
        <v>0.27980903137053398</v>
      </c>
    </row>
    <row r="15" spans="1:8" x14ac:dyDescent="0.25">
      <c r="A15" s="38">
        <f t="shared" si="2"/>
        <v>41288</v>
      </c>
      <c r="B15" s="40">
        <f t="shared" si="6"/>
        <v>0.37099999999999966</v>
      </c>
      <c r="C15" s="65">
        <f t="shared" ca="1" si="0"/>
        <v>0.35410125179334057</v>
      </c>
      <c r="D15" s="71">
        <f t="shared" si="1"/>
        <v>0.40510000000000035</v>
      </c>
      <c r="E15" s="65">
        <f t="shared" ca="1" si="3"/>
        <v>0.21463059831544673</v>
      </c>
      <c r="G15" s="71">
        <f t="shared" si="5"/>
        <v>0.43420000000000281</v>
      </c>
      <c r="H15" s="65">
        <f t="shared" ca="1" si="4"/>
        <v>0.4028181200876339</v>
      </c>
    </row>
    <row r="16" spans="1:8" x14ac:dyDescent="0.25">
      <c r="A16" s="38">
        <f t="shared" si="2"/>
        <v>41289</v>
      </c>
      <c r="B16" s="40">
        <f t="shared" si="6"/>
        <v>0.38099999999999967</v>
      </c>
      <c r="C16" s="65">
        <f t="shared" ca="1" si="0"/>
        <v>0.37717418390622381</v>
      </c>
      <c r="D16" s="71">
        <f t="shared" si="1"/>
        <v>0.41010000000000035</v>
      </c>
      <c r="E16" s="65">
        <f t="shared" ca="1" si="3"/>
        <v>0.29755283147601808</v>
      </c>
      <c r="G16" s="71">
        <f t="shared" si="5"/>
        <v>0.47020000000000278</v>
      </c>
      <c r="H16" s="65">
        <f t="shared" ca="1" si="4"/>
        <v>0.46812510376742528</v>
      </c>
    </row>
    <row r="17" spans="1:8" x14ac:dyDescent="0.25">
      <c r="A17" s="38">
        <f t="shared" si="2"/>
        <v>41290</v>
      </c>
      <c r="B17" s="40">
        <f t="shared" si="6"/>
        <v>0.39099999999999968</v>
      </c>
      <c r="C17" s="65">
        <f t="shared" ca="1" si="0"/>
        <v>0.38248216815614156</v>
      </c>
      <c r="D17" s="71">
        <f t="shared" si="1"/>
        <v>0.41510000000000036</v>
      </c>
      <c r="E17" s="65">
        <f t="shared" ca="1" si="3"/>
        <v>0.24675677302296478</v>
      </c>
      <c r="G17" s="71">
        <f t="shared" si="5"/>
        <v>0.50620000000000276</v>
      </c>
      <c r="H17" s="65">
        <f t="shared" ca="1" si="4"/>
        <v>0.41140998015542324</v>
      </c>
    </row>
    <row r="18" spans="1:8" x14ac:dyDescent="0.25">
      <c r="A18" s="38">
        <f t="shared" si="2"/>
        <v>41291</v>
      </c>
      <c r="B18" s="40">
        <f t="shared" ref="B18:B55" si="7">B19-0.002</f>
        <v>0.40099999999999969</v>
      </c>
      <c r="C18" s="65">
        <f t="shared" ca="1" si="0"/>
        <v>0.42091076005525774</v>
      </c>
      <c r="D18" s="71">
        <f t="shared" si="1"/>
        <v>0.42010000000000036</v>
      </c>
      <c r="E18" s="65">
        <f t="shared" ca="1" si="3"/>
        <v>0.37003954089153374</v>
      </c>
      <c r="G18" s="71">
        <f t="shared" si="5"/>
        <v>0.54220000000000279</v>
      </c>
      <c r="H18" s="65">
        <f t="shared" ca="1" si="4"/>
        <v>0.52400293287512079</v>
      </c>
    </row>
    <row r="19" spans="1:8" x14ac:dyDescent="0.25">
      <c r="A19" s="38">
        <f t="shared" si="2"/>
        <v>41292</v>
      </c>
      <c r="B19" s="40">
        <f t="shared" si="7"/>
        <v>0.40299999999999969</v>
      </c>
      <c r="C19" s="65">
        <f t="shared" ca="1" si="0"/>
        <v>0.39818185004517581</v>
      </c>
      <c r="D19" s="71">
        <f t="shared" si="1"/>
        <v>0.42510000000000037</v>
      </c>
      <c r="E19" s="65">
        <f t="shared" ca="1" si="3"/>
        <v>0.27362203040303484</v>
      </c>
      <c r="G19" s="71">
        <f t="shared" si="5"/>
        <v>0.57820000000000282</v>
      </c>
      <c r="H19" s="65">
        <f t="shared" ca="1" si="4"/>
        <v>0.47451953744678116</v>
      </c>
    </row>
    <row r="20" spans="1:8" x14ac:dyDescent="0.25">
      <c r="A20" s="38">
        <f t="shared" si="2"/>
        <v>41293</v>
      </c>
      <c r="B20" s="40">
        <f t="shared" si="7"/>
        <v>0.40499999999999969</v>
      </c>
      <c r="C20" s="65">
        <f t="shared" ca="1" si="0"/>
        <v>0.43279428042071544</v>
      </c>
      <c r="D20" s="71">
        <f t="shared" si="1"/>
        <v>0.43010000000000037</v>
      </c>
      <c r="E20" s="65">
        <f t="shared" ca="1" si="3"/>
        <v>0.31277733997259344</v>
      </c>
      <c r="G20" s="71">
        <f t="shared" si="5"/>
        <v>0.61420000000000285</v>
      </c>
      <c r="H20" s="65">
        <f t="shared" ca="1" si="4"/>
        <v>0.49142317894144588</v>
      </c>
    </row>
    <row r="21" spans="1:8" x14ac:dyDescent="0.25">
      <c r="A21" s="38">
        <f t="shared" si="2"/>
        <v>41294</v>
      </c>
      <c r="B21" s="40">
        <f t="shared" si="7"/>
        <v>0.4069999999999997</v>
      </c>
      <c r="C21" s="65">
        <f t="shared" ca="1" si="0"/>
        <v>0.39837416086672051</v>
      </c>
      <c r="D21" s="71">
        <f t="shared" si="1"/>
        <v>0.43510000000000038</v>
      </c>
      <c r="E21" s="65">
        <f t="shared" ca="1" si="3"/>
        <v>0.35665398677446219</v>
      </c>
      <c r="G21" s="71">
        <f t="shared" si="5"/>
        <v>0.65020000000000289</v>
      </c>
      <c r="H21" s="65">
        <f t="shared" ca="1" si="4"/>
        <v>0.56800611158221392</v>
      </c>
    </row>
    <row r="22" spans="1:8" x14ac:dyDescent="0.25">
      <c r="A22" s="38">
        <f t="shared" si="2"/>
        <v>41295</v>
      </c>
      <c r="B22" s="40">
        <f t="shared" si="7"/>
        <v>0.4089999999999997</v>
      </c>
      <c r="C22" s="65">
        <f t="shared" ca="1" si="0"/>
        <v>0.39626695343627738</v>
      </c>
      <c r="D22" s="71">
        <f t="shared" si="1"/>
        <v>0.44010000000000038</v>
      </c>
      <c r="E22" s="65">
        <f t="shared" ca="1" si="3"/>
        <v>0.36360748200256382</v>
      </c>
      <c r="G22" s="71">
        <f t="shared" si="5"/>
        <v>0.68620000000000292</v>
      </c>
      <c r="H22" s="65">
        <f t="shared" ca="1" si="4"/>
        <v>0.64857834128048664</v>
      </c>
    </row>
    <row r="23" spans="1:8" x14ac:dyDescent="0.25">
      <c r="A23" s="38">
        <f t="shared" si="2"/>
        <v>41296</v>
      </c>
      <c r="B23" s="40">
        <f t="shared" si="7"/>
        <v>0.4109999999999997</v>
      </c>
      <c r="C23" s="65">
        <f t="shared" ca="1" si="0"/>
        <v>0.45301258195120242</v>
      </c>
      <c r="D23" s="71">
        <f t="shared" si="1"/>
        <v>0.44510000000000038</v>
      </c>
      <c r="E23" s="65">
        <f ca="1">RAND()*0.2+D23-0.2</f>
        <v>0.31884584503020824</v>
      </c>
      <c r="G23" s="71">
        <f>G24-0.036</f>
        <v>0.72220000000000295</v>
      </c>
      <c r="H23" s="65">
        <f>0.58</f>
        <v>0.57999999999999996</v>
      </c>
    </row>
    <row r="24" spans="1:8" x14ac:dyDescent="0.25">
      <c r="A24" s="38">
        <f t="shared" si="2"/>
        <v>41297</v>
      </c>
      <c r="B24" s="40">
        <f t="shared" si="7"/>
        <v>0.4129999999999997</v>
      </c>
      <c r="C24" s="65">
        <f t="shared" ca="1" si="0"/>
        <v>0.42390721539822768</v>
      </c>
      <c r="D24" s="71">
        <f t="shared" si="1"/>
        <v>0.45010000000000039</v>
      </c>
      <c r="E24" s="65">
        <f t="shared" ca="1" si="3"/>
        <v>0.38995656661039318</v>
      </c>
      <c r="G24" s="71">
        <f t="shared" ref="G24:G35" si="8">G25+0.025</f>
        <v>0.75820000000000298</v>
      </c>
      <c r="H24" s="65">
        <f ca="1">RAND()*0.2+G24-0.2</f>
        <v>0.73613830112858047</v>
      </c>
    </row>
    <row r="25" spans="1:8" x14ac:dyDescent="0.25">
      <c r="A25" s="38">
        <f t="shared" si="2"/>
        <v>41298</v>
      </c>
      <c r="B25" s="40">
        <f t="shared" si="7"/>
        <v>0.4149999999999997</v>
      </c>
      <c r="C25" s="65">
        <f t="shared" ca="1" si="0"/>
        <v>0.42101021554883639</v>
      </c>
      <c r="D25" s="71">
        <f t="shared" si="1"/>
        <v>0.45510000000000039</v>
      </c>
      <c r="E25" s="65">
        <f t="shared" ca="1" si="3"/>
        <v>0.40247588097939929</v>
      </c>
      <c r="G25" s="71">
        <f t="shared" si="8"/>
        <v>0.73320000000000296</v>
      </c>
      <c r="H25" s="65">
        <f>0.62</f>
        <v>0.62</v>
      </c>
    </row>
    <row r="26" spans="1:8" x14ac:dyDescent="0.25">
      <c r="A26" s="38">
        <f t="shared" si="2"/>
        <v>41299</v>
      </c>
      <c r="B26" s="40">
        <f t="shared" si="7"/>
        <v>0.4169999999999997</v>
      </c>
      <c r="C26" s="65">
        <f t="shared" ca="1" si="0"/>
        <v>0.46988166800862557</v>
      </c>
      <c r="D26" s="71">
        <f t="shared" si="1"/>
        <v>0.4601000000000004</v>
      </c>
      <c r="E26" s="65">
        <f t="shared" ca="1" si="3"/>
        <v>0.36394417098596626</v>
      </c>
      <c r="G26" s="71">
        <f t="shared" si="8"/>
        <v>0.70820000000000294</v>
      </c>
      <c r="H26" s="65">
        <f t="shared" ca="1" si="4"/>
        <v>0.64784133783549258</v>
      </c>
    </row>
    <row r="27" spans="1:8" x14ac:dyDescent="0.25">
      <c r="A27" s="38">
        <f t="shared" si="2"/>
        <v>41300</v>
      </c>
      <c r="B27" s="40">
        <f t="shared" si="7"/>
        <v>0.41899999999999971</v>
      </c>
      <c r="C27" s="65">
        <f t="shared" ca="1" si="0"/>
        <v>0.40669916856655064</v>
      </c>
      <c r="D27" s="71">
        <f t="shared" si="1"/>
        <v>0.4651000000000004</v>
      </c>
      <c r="E27" s="65">
        <f t="shared" ca="1" si="3"/>
        <v>0.39778909984080163</v>
      </c>
      <c r="G27" s="71">
        <f t="shared" si="8"/>
        <v>0.68320000000000292</v>
      </c>
      <c r="H27" s="65">
        <f t="shared" ca="1" si="4"/>
        <v>0.55859386322981819</v>
      </c>
    </row>
    <row r="28" spans="1:8" x14ac:dyDescent="0.25">
      <c r="A28" s="38">
        <f t="shared" si="2"/>
        <v>41301</v>
      </c>
      <c r="B28" s="40">
        <f t="shared" si="7"/>
        <v>0.42099999999999971</v>
      </c>
      <c r="C28" s="65">
        <f t="shared" ca="1" si="0"/>
        <v>0.44156003102346786</v>
      </c>
      <c r="D28" s="71">
        <f t="shared" si="1"/>
        <v>0.47010000000000041</v>
      </c>
      <c r="E28" s="65">
        <f t="shared" ca="1" si="3"/>
        <v>0.3021628899970224</v>
      </c>
      <c r="G28" s="71">
        <f t="shared" si="8"/>
        <v>0.65820000000000289</v>
      </c>
      <c r="H28" s="65">
        <f t="shared" ca="1" si="4"/>
        <v>0.63840914171566787</v>
      </c>
    </row>
    <row r="29" spans="1:8" x14ac:dyDescent="0.25">
      <c r="A29" s="38">
        <f t="shared" si="2"/>
        <v>41302</v>
      </c>
      <c r="B29" s="40">
        <f t="shared" si="7"/>
        <v>0.42299999999999971</v>
      </c>
      <c r="C29" s="65">
        <f t="shared" ca="1" si="0"/>
        <v>0.40941362427351441</v>
      </c>
      <c r="D29" s="71">
        <f t="shared" si="1"/>
        <v>0.47510000000000041</v>
      </c>
      <c r="E29" s="65">
        <f t="shared" ca="1" si="3"/>
        <v>0.37397431054791513</v>
      </c>
      <c r="G29" s="71">
        <f t="shared" si="8"/>
        <v>0.63320000000000287</v>
      </c>
      <c r="H29" s="65">
        <f t="shared" ca="1" si="4"/>
        <v>0.51066013044527403</v>
      </c>
    </row>
    <row r="30" spans="1:8" x14ac:dyDescent="0.25">
      <c r="A30" s="38">
        <f t="shared" si="2"/>
        <v>41303</v>
      </c>
      <c r="B30" s="40">
        <f t="shared" si="7"/>
        <v>0.42499999999999971</v>
      </c>
      <c r="C30" s="65">
        <f t="shared" ca="1" si="0"/>
        <v>0.46515938616634328</v>
      </c>
      <c r="D30" s="71">
        <f t="shared" si="1"/>
        <v>0.48010000000000042</v>
      </c>
      <c r="E30" s="65">
        <f t="shared" ca="1" si="3"/>
        <v>0.46358880140539954</v>
      </c>
      <c r="G30" s="71">
        <f t="shared" si="8"/>
        <v>0.60820000000000285</v>
      </c>
      <c r="H30" s="65">
        <f t="shared" ca="1" si="4"/>
        <v>0.55803607335407124</v>
      </c>
    </row>
    <row r="31" spans="1:8" x14ac:dyDescent="0.25">
      <c r="A31" s="38">
        <f t="shared" si="2"/>
        <v>41304</v>
      </c>
      <c r="B31" s="40">
        <f t="shared" si="7"/>
        <v>0.42699999999999971</v>
      </c>
      <c r="C31" s="65">
        <f t="shared" ca="1" si="0"/>
        <v>0.42659366681140409</v>
      </c>
      <c r="D31" s="71">
        <f t="shared" si="1"/>
        <v>0.48510000000000042</v>
      </c>
      <c r="E31" s="65">
        <f t="shared" ca="1" si="3"/>
        <v>0.40607174399565543</v>
      </c>
      <c r="G31" s="71">
        <f t="shared" si="8"/>
        <v>0.58320000000000283</v>
      </c>
      <c r="H31" s="65">
        <f t="shared" ca="1" si="4"/>
        <v>0.50700902741684706</v>
      </c>
    </row>
    <row r="32" spans="1:8" x14ac:dyDescent="0.25">
      <c r="A32" s="38">
        <f t="shared" si="2"/>
        <v>41305</v>
      </c>
      <c r="B32" s="40">
        <f t="shared" si="7"/>
        <v>0.42899999999999971</v>
      </c>
      <c r="C32" s="65">
        <f t="shared" ca="1" si="0"/>
        <v>0.4778083894619401</v>
      </c>
      <c r="D32" s="71">
        <f t="shared" si="1"/>
        <v>0.49010000000000042</v>
      </c>
      <c r="E32" s="65">
        <f t="shared" ca="1" si="3"/>
        <v>0.48346585525104174</v>
      </c>
      <c r="G32" s="71">
        <f t="shared" si="8"/>
        <v>0.55820000000000281</v>
      </c>
      <c r="H32" s="65">
        <f t="shared" ca="1" si="4"/>
        <v>0.52682517651085203</v>
      </c>
    </row>
    <row r="33" spans="1:8" x14ac:dyDescent="0.25">
      <c r="A33" s="38">
        <f t="shared" si="2"/>
        <v>41306</v>
      </c>
      <c r="B33" s="40">
        <f t="shared" si="7"/>
        <v>0.43099999999999972</v>
      </c>
      <c r="C33" s="65">
        <f t="shared" ca="1" si="0"/>
        <v>0.44615927272915246</v>
      </c>
      <c r="D33" s="71">
        <f t="shared" si="1"/>
        <v>0.49510000000000043</v>
      </c>
      <c r="E33" s="65">
        <f t="shared" ca="1" si="3"/>
        <v>0.32646967061436433</v>
      </c>
      <c r="G33" s="71">
        <f t="shared" si="8"/>
        <v>0.53320000000000278</v>
      </c>
      <c r="H33" s="65">
        <f t="shared" ca="1" si="4"/>
        <v>0.47915050468401538</v>
      </c>
    </row>
    <row r="34" spans="1:8" x14ac:dyDescent="0.25">
      <c r="A34" s="38">
        <f t="shared" si="2"/>
        <v>41307</v>
      </c>
      <c r="B34" s="40">
        <f t="shared" si="7"/>
        <v>0.43299999999999972</v>
      </c>
      <c r="C34" s="65">
        <f t="shared" ca="1" si="0"/>
        <v>0.43197367885253674</v>
      </c>
      <c r="D34" s="71">
        <f t="shared" si="1"/>
        <v>0.50010000000000043</v>
      </c>
      <c r="E34" s="65">
        <f t="shared" ca="1" si="3"/>
        <v>0.42899519314865536</v>
      </c>
      <c r="G34" s="71">
        <f t="shared" si="8"/>
        <v>0.50820000000000276</v>
      </c>
      <c r="H34" s="65">
        <f t="shared" ca="1" si="4"/>
        <v>0.34734596386585354</v>
      </c>
    </row>
    <row r="35" spans="1:8" x14ac:dyDescent="0.25">
      <c r="A35" s="38">
        <f t="shared" si="2"/>
        <v>41308</v>
      </c>
      <c r="B35" s="40">
        <f t="shared" si="7"/>
        <v>0.43499999999999972</v>
      </c>
      <c r="C35" s="65">
        <f t="shared" ca="1" si="0"/>
        <v>0.47972423911267786</v>
      </c>
      <c r="D35" s="71">
        <f t="shared" si="1"/>
        <v>0.50510000000000044</v>
      </c>
      <c r="E35" s="65">
        <f t="shared" ca="1" si="3"/>
        <v>0.47176112428718636</v>
      </c>
      <c r="G35" s="71">
        <f t="shared" si="8"/>
        <v>0.48320000000000274</v>
      </c>
      <c r="H35" s="65">
        <f t="shared" ca="1" si="4"/>
        <v>0.48134460239674653</v>
      </c>
    </row>
    <row r="36" spans="1:8" x14ac:dyDescent="0.25">
      <c r="A36" s="38">
        <f t="shared" si="2"/>
        <v>41309</v>
      </c>
      <c r="B36" s="40">
        <f t="shared" si="7"/>
        <v>0.43699999999999972</v>
      </c>
      <c r="C36" s="65">
        <f t="shared" ca="1" si="0"/>
        <v>0.44792248270520718</v>
      </c>
      <c r="D36" s="71">
        <f t="shared" si="1"/>
        <v>0.51010000000000044</v>
      </c>
      <c r="E36" s="65">
        <f t="shared" ca="1" si="3"/>
        <v>0.37196717208134705</v>
      </c>
      <c r="G36" s="71">
        <f>G37+0.025</f>
        <v>0.45820000000000272</v>
      </c>
      <c r="H36" s="65">
        <f t="shared" ca="1" si="4"/>
        <v>0.39467143133033172</v>
      </c>
    </row>
    <row r="37" spans="1:8" x14ac:dyDescent="0.25">
      <c r="A37" s="38">
        <f t="shared" ref="A37:A68" si="9">A36+1</f>
        <v>41310</v>
      </c>
      <c r="B37" s="40">
        <f t="shared" si="7"/>
        <v>0.43899999999999972</v>
      </c>
      <c r="C37" s="65">
        <f ca="1">RAND()*0.1+B37-0.1</f>
        <v>0.3837989724160441</v>
      </c>
      <c r="D37" s="71">
        <f>D38-0.005</f>
        <v>0.51510000000000045</v>
      </c>
      <c r="E37" s="65">
        <f t="shared" ca="1" si="3"/>
        <v>0.34265023078609697</v>
      </c>
      <c r="G37" s="71">
        <f t="shared" ref="G37:G42" si="10">G38-0.058</f>
        <v>0.43320000000000269</v>
      </c>
      <c r="H37" s="65">
        <f t="shared" ca="1" si="4"/>
        <v>0.36957855889157093</v>
      </c>
    </row>
    <row r="38" spans="1:8" x14ac:dyDescent="0.25">
      <c r="A38" s="38">
        <f t="shared" si="9"/>
        <v>41311</v>
      </c>
      <c r="B38" s="40">
        <f t="shared" si="7"/>
        <v>0.44099999999999973</v>
      </c>
      <c r="C38" s="65">
        <f t="shared" ref="C38:C82" ca="1" si="11">RAND()*0.1+B38-0.02</f>
        <v>0.42425722699536161</v>
      </c>
      <c r="D38" s="71">
        <f t="shared" ref="D38:D57" si="12">D39-0.0045</f>
        <v>0.52010000000000045</v>
      </c>
      <c r="E38" s="65">
        <f t="shared" ca="1" si="3"/>
        <v>0.32384737474402853</v>
      </c>
      <c r="G38" s="71">
        <f t="shared" si="10"/>
        <v>0.49120000000000269</v>
      </c>
      <c r="H38" s="65">
        <f t="shared" ca="1" si="4"/>
        <v>0.42130722629616829</v>
      </c>
    </row>
    <row r="39" spans="1:8" x14ac:dyDescent="0.25">
      <c r="A39" s="38">
        <f t="shared" si="9"/>
        <v>41312</v>
      </c>
      <c r="B39" s="40">
        <f t="shared" si="7"/>
        <v>0.44299999999999973</v>
      </c>
      <c r="C39" s="65">
        <f t="shared" ca="1" si="11"/>
        <v>0.45061650402289272</v>
      </c>
      <c r="D39" s="71">
        <f t="shared" si="12"/>
        <v>0.5246000000000004</v>
      </c>
      <c r="E39" s="65">
        <f t="shared" ca="1" si="3"/>
        <v>0.4881055434579113</v>
      </c>
      <c r="G39" s="71">
        <f t="shared" si="10"/>
        <v>0.54920000000000269</v>
      </c>
      <c r="H39" s="65">
        <f t="shared" ca="1" si="4"/>
        <v>0.40525350988530734</v>
      </c>
    </row>
    <row r="40" spans="1:8" x14ac:dyDescent="0.25">
      <c r="A40" s="38">
        <f t="shared" si="9"/>
        <v>41313</v>
      </c>
      <c r="B40" s="40">
        <f t="shared" si="7"/>
        <v>0.44499999999999973</v>
      </c>
      <c r="C40" s="65">
        <f t="shared" ca="1" si="11"/>
        <v>0.49998810086916023</v>
      </c>
      <c r="D40" s="71">
        <f t="shared" si="12"/>
        <v>0.52910000000000035</v>
      </c>
      <c r="E40" s="65">
        <f t="shared" ca="1" si="3"/>
        <v>0.33643215291159317</v>
      </c>
      <c r="G40" s="71">
        <f t="shared" si="10"/>
        <v>0.60720000000000274</v>
      </c>
      <c r="H40" s="65">
        <f t="shared" ca="1" si="4"/>
        <v>0.5543669173726915</v>
      </c>
    </row>
    <row r="41" spans="1:8" x14ac:dyDescent="0.25">
      <c r="A41" s="38">
        <f t="shared" si="9"/>
        <v>41314</v>
      </c>
      <c r="B41" s="40">
        <f t="shared" si="7"/>
        <v>0.44699999999999973</v>
      </c>
      <c r="C41" s="65">
        <f t="shared" ca="1" si="11"/>
        <v>0.5174199852778798</v>
      </c>
      <c r="D41" s="71">
        <f t="shared" si="12"/>
        <v>0.5336000000000003</v>
      </c>
      <c r="E41" s="65">
        <f t="shared" ca="1" si="3"/>
        <v>0.42148312910524227</v>
      </c>
      <c r="G41" s="71">
        <f t="shared" si="10"/>
        <v>0.66520000000000279</v>
      </c>
      <c r="H41" s="65">
        <f t="shared" ca="1" si="4"/>
        <v>0.62012069618034804</v>
      </c>
    </row>
    <row r="42" spans="1:8" x14ac:dyDescent="0.25">
      <c r="A42" s="38">
        <f t="shared" si="9"/>
        <v>41315</v>
      </c>
      <c r="B42" s="40">
        <f t="shared" si="7"/>
        <v>0.44899999999999973</v>
      </c>
      <c r="C42" s="65">
        <f t="shared" ca="1" si="11"/>
        <v>0.45971271414442716</v>
      </c>
      <c r="D42" s="71">
        <f t="shared" si="12"/>
        <v>0.53810000000000024</v>
      </c>
      <c r="E42" s="65">
        <f t="shared" ca="1" si="3"/>
        <v>0.42220352484305618</v>
      </c>
      <c r="G42" s="71">
        <f t="shared" si="10"/>
        <v>0.72320000000000284</v>
      </c>
      <c r="H42" s="65">
        <f t="shared" ca="1" si="4"/>
        <v>0.71340023871616198</v>
      </c>
    </row>
    <row r="43" spans="1:8" x14ac:dyDescent="0.25">
      <c r="A43" s="38">
        <f t="shared" si="9"/>
        <v>41316</v>
      </c>
      <c r="B43" s="40">
        <f t="shared" si="7"/>
        <v>0.45099999999999973</v>
      </c>
      <c r="C43" s="65">
        <f t="shared" ca="1" si="11"/>
        <v>0.5055937811093707</v>
      </c>
      <c r="D43" s="71">
        <f t="shared" si="12"/>
        <v>0.54260000000000019</v>
      </c>
      <c r="E43" s="65">
        <f t="shared" ca="1" si="3"/>
        <v>0.52518530694022836</v>
      </c>
      <c r="G43" s="71">
        <f t="shared" ref="G43:G49" si="13">G45+0.045</f>
        <v>0.78120000000000289</v>
      </c>
      <c r="H43" s="65">
        <f>0.59</f>
        <v>0.59</v>
      </c>
    </row>
    <row r="44" spans="1:8" x14ac:dyDescent="0.25">
      <c r="A44" s="38">
        <f t="shared" si="9"/>
        <v>41317</v>
      </c>
      <c r="B44" s="40">
        <f t="shared" si="7"/>
        <v>0.45299999999999974</v>
      </c>
      <c r="C44" s="65">
        <f t="shared" ca="1" si="11"/>
        <v>0.53112983335054187</v>
      </c>
      <c r="D44" s="71">
        <f t="shared" si="12"/>
        <v>0.54710000000000014</v>
      </c>
      <c r="E44" s="65">
        <f t="shared" ca="1" si="3"/>
        <v>0.54650596852903432</v>
      </c>
      <c r="G44" s="71">
        <f t="shared" si="13"/>
        <v>0.78260000000000285</v>
      </c>
      <c r="H44" s="65">
        <f t="shared" ca="1" si="4"/>
        <v>0.6194772279363161</v>
      </c>
    </row>
    <row r="45" spans="1:8" x14ac:dyDescent="0.25">
      <c r="A45" s="38">
        <f t="shared" si="9"/>
        <v>41318</v>
      </c>
      <c r="B45" s="40">
        <f t="shared" si="7"/>
        <v>0.45499999999999974</v>
      </c>
      <c r="C45" s="65">
        <f t="shared" ca="1" si="11"/>
        <v>0.45139277015767759</v>
      </c>
      <c r="D45" s="71">
        <f t="shared" si="12"/>
        <v>0.55160000000000009</v>
      </c>
      <c r="E45" s="65">
        <f t="shared" ca="1" si="3"/>
        <v>0.48947695214801862</v>
      </c>
      <c r="G45" s="71">
        <f t="shared" si="13"/>
        <v>0.73620000000000285</v>
      </c>
      <c r="H45" s="65">
        <f t="shared" ca="1" si="4"/>
        <v>0.56496002290406211</v>
      </c>
    </row>
    <row r="46" spans="1:8" x14ac:dyDescent="0.25">
      <c r="A46" s="38">
        <f t="shared" si="9"/>
        <v>41319</v>
      </c>
      <c r="B46" s="40">
        <f t="shared" si="7"/>
        <v>0.45699999999999974</v>
      </c>
      <c r="C46" s="65">
        <f t="shared" ca="1" si="11"/>
        <v>0.46377512445681934</v>
      </c>
      <c r="D46" s="71">
        <f t="shared" si="12"/>
        <v>0.55610000000000004</v>
      </c>
      <c r="E46" s="65">
        <f t="shared" ca="1" si="3"/>
        <v>0.50644809891584375</v>
      </c>
      <c r="G46" s="71">
        <f t="shared" si="13"/>
        <v>0.73760000000000281</v>
      </c>
      <c r="H46" s="65">
        <f t="shared" ca="1" si="4"/>
        <v>0.55562304116588601</v>
      </c>
    </row>
    <row r="47" spans="1:8" x14ac:dyDescent="0.25">
      <c r="A47" s="38">
        <f t="shared" si="9"/>
        <v>41320</v>
      </c>
      <c r="B47" s="40">
        <f t="shared" si="7"/>
        <v>0.45899999999999974</v>
      </c>
      <c r="C47" s="65">
        <f t="shared" ca="1" si="11"/>
        <v>0.47759380003495427</v>
      </c>
      <c r="D47" s="71">
        <f t="shared" si="12"/>
        <v>0.56059999999999999</v>
      </c>
      <c r="E47" s="65">
        <f t="shared" ca="1" si="3"/>
        <v>0.38576381091332451</v>
      </c>
      <c r="G47" s="71">
        <f t="shared" si="13"/>
        <v>0.69120000000000281</v>
      </c>
      <c r="H47" s="65">
        <f t="shared" ca="1" si="4"/>
        <v>0.60485621613880292</v>
      </c>
    </row>
    <row r="48" spans="1:8" x14ac:dyDescent="0.25">
      <c r="A48" s="38">
        <f t="shared" si="9"/>
        <v>41321</v>
      </c>
      <c r="B48" s="40">
        <f t="shared" si="7"/>
        <v>0.46099999999999974</v>
      </c>
      <c r="C48" s="65">
        <f t="shared" ca="1" si="11"/>
        <v>0.45519757152979884</v>
      </c>
      <c r="D48" s="71">
        <f t="shared" si="12"/>
        <v>0.56509999999999994</v>
      </c>
      <c r="E48" s="65">
        <f t="shared" ca="1" si="3"/>
        <v>0.44948160529883924</v>
      </c>
      <c r="G48" s="71">
        <f t="shared" si="13"/>
        <v>0.69260000000000277</v>
      </c>
      <c r="H48" s="65">
        <f t="shared" ca="1" si="4"/>
        <v>0.59019548091160123</v>
      </c>
    </row>
    <row r="49" spans="1:8" x14ac:dyDescent="0.25">
      <c r="A49" s="38">
        <f t="shared" si="9"/>
        <v>41322</v>
      </c>
      <c r="B49" s="40">
        <f t="shared" si="7"/>
        <v>0.46299999999999975</v>
      </c>
      <c r="C49" s="65">
        <f t="shared" ca="1" si="11"/>
        <v>0.51356519846830662</v>
      </c>
      <c r="D49" s="71">
        <f t="shared" si="12"/>
        <v>0.56959999999999988</v>
      </c>
      <c r="E49" s="65">
        <f t="shared" ca="1" si="3"/>
        <v>0.45580644919514562</v>
      </c>
      <c r="G49" s="71">
        <f t="shared" si="13"/>
        <v>0.64620000000000277</v>
      </c>
      <c r="H49" s="65">
        <f t="shared" ca="1" si="4"/>
        <v>0.58777588124672286</v>
      </c>
    </row>
    <row r="50" spans="1:8" x14ac:dyDescent="0.25">
      <c r="A50" s="38">
        <f t="shared" si="9"/>
        <v>41323</v>
      </c>
      <c r="B50" s="40">
        <f t="shared" si="7"/>
        <v>0.46499999999999975</v>
      </c>
      <c r="C50" s="65">
        <f t="shared" ca="1" si="11"/>
        <v>0.49991652116768193</v>
      </c>
      <c r="D50" s="71">
        <f t="shared" si="12"/>
        <v>0.57409999999999983</v>
      </c>
      <c r="E50" s="65">
        <f t="shared" ca="1" si="3"/>
        <v>0.4543621153633291</v>
      </c>
      <c r="G50" s="71">
        <f>G52+0.045</f>
        <v>0.64760000000000273</v>
      </c>
      <c r="H50" s="65">
        <f t="shared" ca="1" si="4"/>
        <v>0.52173327336693842</v>
      </c>
    </row>
    <row r="51" spans="1:8" x14ac:dyDescent="0.25">
      <c r="A51" s="38">
        <f t="shared" si="9"/>
        <v>41324</v>
      </c>
      <c r="B51" s="40">
        <f t="shared" si="7"/>
        <v>0.46699999999999975</v>
      </c>
      <c r="C51" s="65">
        <f t="shared" ca="1" si="11"/>
        <v>0.53909261296418443</v>
      </c>
      <c r="D51" s="71">
        <f t="shared" si="12"/>
        <v>0.57859999999999978</v>
      </c>
      <c r="E51" s="65">
        <f t="shared" ca="1" si="3"/>
        <v>0.43352110836126495</v>
      </c>
      <c r="G51" s="71">
        <f t="shared" ref="G51:G64" si="14">G52-0.0014</f>
        <v>0.60120000000000273</v>
      </c>
      <c r="H51" s="65">
        <f t="shared" ca="1" si="4"/>
        <v>0.53214340849334207</v>
      </c>
    </row>
    <row r="52" spans="1:8" x14ac:dyDescent="0.25">
      <c r="A52" s="38">
        <f t="shared" si="9"/>
        <v>41325</v>
      </c>
      <c r="B52" s="40">
        <f t="shared" si="7"/>
        <v>0.46899999999999975</v>
      </c>
      <c r="C52" s="65">
        <f t="shared" ca="1" si="11"/>
        <v>0.50310313415569707</v>
      </c>
      <c r="D52" s="71">
        <f t="shared" si="12"/>
        <v>0.58309999999999973</v>
      </c>
      <c r="E52" s="65">
        <f t="shared" ca="1" si="3"/>
        <v>0.40399140218542257</v>
      </c>
      <c r="G52" s="71">
        <f t="shared" si="14"/>
        <v>0.60260000000000269</v>
      </c>
      <c r="H52" s="65">
        <f t="shared" ca="1" si="4"/>
        <v>0.40284338758887667</v>
      </c>
    </row>
    <row r="53" spans="1:8" x14ac:dyDescent="0.25">
      <c r="A53" s="38">
        <f t="shared" si="9"/>
        <v>41326</v>
      </c>
      <c r="B53" s="40">
        <f t="shared" si="7"/>
        <v>0.47099999999999975</v>
      </c>
      <c r="C53" s="65">
        <f t="shared" ca="1" si="11"/>
        <v>0.47091689106400608</v>
      </c>
      <c r="D53" s="71">
        <f t="shared" si="12"/>
        <v>0.58759999999999968</v>
      </c>
      <c r="E53" s="65">
        <f t="shared" ca="1" si="3"/>
        <v>0.55521610538946464</v>
      </c>
      <c r="G53" s="71">
        <f t="shared" si="14"/>
        <v>0.60400000000000265</v>
      </c>
      <c r="H53" s="65">
        <f t="shared" ca="1" si="4"/>
        <v>0.5560775733598371</v>
      </c>
    </row>
    <row r="54" spans="1:8" x14ac:dyDescent="0.25">
      <c r="A54" s="38">
        <f t="shared" si="9"/>
        <v>41327</v>
      </c>
      <c r="B54" s="40">
        <f t="shared" si="7"/>
        <v>0.47299999999999975</v>
      </c>
      <c r="C54" s="65">
        <f t="shared" ca="1" si="11"/>
        <v>0.52049343820511296</v>
      </c>
      <c r="D54" s="71">
        <f t="shared" si="12"/>
        <v>0.59209999999999963</v>
      </c>
      <c r="E54" s="65">
        <f t="shared" ca="1" si="3"/>
        <v>0.48245195451585238</v>
      </c>
      <c r="G54" s="71">
        <f t="shared" si="14"/>
        <v>0.6054000000000026</v>
      </c>
      <c r="H54" s="65">
        <f t="shared" ca="1" si="4"/>
        <v>0.59080851677268997</v>
      </c>
    </row>
    <row r="55" spans="1:8" x14ac:dyDescent="0.25">
      <c r="A55" s="38">
        <f t="shared" si="9"/>
        <v>41328</v>
      </c>
      <c r="B55" s="40">
        <f t="shared" si="7"/>
        <v>0.47499999999999976</v>
      </c>
      <c r="C55" s="65">
        <f t="shared" ca="1" si="11"/>
        <v>0.46904157572421262</v>
      </c>
      <c r="D55" s="71">
        <f t="shared" si="12"/>
        <v>0.59659999999999958</v>
      </c>
      <c r="E55" s="65">
        <f t="shared" ca="1" si="3"/>
        <v>0.4731741131363339</v>
      </c>
      <c r="G55" s="71">
        <f t="shared" si="14"/>
        <v>0.60680000000000256</v>
      </c>
      <c r="H55" s="65">
        <f t="shared" ca="1" si="4"/>
        <v>0.5920937378960005</v>
      </c>
    </row>
    <row r="56" spans="1:8" x14ac:dyDescent="0.25">
      <c r="A56" s="38">
        <f t="shared" si="9"/>
        <v>41329</v>
      </c>
      <c r="B56" s="40">
        <f>B57-0.009</f>
        <v>0.47699999999999976</v>
      </c>
      <c r="C56" s="65">
        <f t="shared" ca="1" si="11"/>
        <v>0.47753336056922857</v>
      </c>
      <c r="D56" s="71">
        <f t="shared" si="12"/>
        <v>0.60109999999999952</v>
      </c>
      <c r="E56" s="65">
        <f t="shared" ca="1" si="3"/>
        <v>0.51951967165185131</v>
      </c>
      <c r="G56" s="71">
        <f t="shared" si="14"/>
        <v>0.60820000000000252</v>
      </c>
      <c r="H56" s="65">
        <f t="shared" ca="1" si="4"/>
        <v>0.43189281422188991</v>
      </c>
    </row>
    <row r="57" spans="1:8" x14ac:dyDescent="0.25">
      <c r="A57" s="38">
        <f t="shared" si="9"/>
        <v>41330</v>
      </c>
      <c r="B57" s="40">
        <f t="shared" ref="B57:B75" si="15">B58-0.002</f>
        <v>0.48599999999999977</v>
      </c>
      <c r="C57" s="65">
        <f t="shared" ca="1" si="11"/>
        <v>0.50304414199244707</v>
      </c>
      <c r="D57" s="71">
        <f t="shared" si="12"/>
        <v>0.60559999999999947</v>
      </c>
      <c r="E57" s="65">
        <f t="shared" ca="1" si="3"/>
        <v>0.41511262062638771</v>
      </c>
      <c r="G57" s="71">
        <f t="shared" si="14"/>
        <v>0.60960000000000247</v>
      </c>
      <c r="H57" s="65">
        <f t="shared" ca="1" si="4"/>
        <v>0.5024202628301091</v>
      </c>
    </row>
    <row r="58" spans="1:8" x14ac:dyDescent="0.25">
      <c r="A58" s="38">
        <f t="shared" si="9"/>
        <v>41331</v>
      </c>
      <c r="B58" s="40">
        <f t="shared" si="15"/>
        <v>0.48799999999999977</v>
      </c>
      <c r="C58" s="65">
        <f t="shared" ca="1" si="11"/>
        <v>0.51728901342156208</v>
      </c>
      <c r="D58" s="71">
        <f>D59-0.0045</f>
        <v>0.61009999999999942</v>
      </c>
      <c r="E58" s="65">
        <f t="shared" ca="1" si="3"/>
        <v>0.45260130303290319</v>
      </c>
      <c r="G58" s="71">
        <f t="shared" si="14"/>
        <v>0.61100000000000243</v>
      </c>
      <c r="H58" s="65">
        <f t="shared" ca="1" si="4"/>
        <v>0.51726710269574849</v>
      </c>
    </row>
    <row r="59" spans="1:8" x14ac:dyDescent="0.25">
      <c r="A59" s="38">
        <f t="shared" si="9"/>
        <v>41332</v>
      </c>
      <c r="B59" s="40">
        <f t="shared" si="15"/>
        <v>0.48999999999999977</v>
      </c>
      <c r="C59" s="65">
        <f t="shared" ca="1" si="11"/>
        <v>0.5678538946595858</v>
      </c>
      <c r="D59" s="71">
        <f t="shared" ref="D59:D75" si="16">D60+0.005</f>
        <v>0.61459999999999937</v>
      </c>
      <c r="E59" s="65">
        <f t="shared" ca="1" si="3"/>
        <v>0.55622470028081028</v>
      </c>
      <c r="G59" s="71">
        <f t="shared" si="14"/>
        <v>0.61240000000000239</v>
      </c>
      <c r="H59" s="65">
        <f t="shared" ca="1" si="4"/>
        <v>0.54676812401699704</v>
      </c>
    </row>
    <row r="60" spans="1:8" x14ac:dyDescent="0.25">
      <c r="A60" s="38">
        <f t="shared" si="9"/>
        <v>41333</v>
      </c>
      <c r="B60" s="40">
        <f t="shared" si="15"/>
        <v>0.49199999999999977</v>
      </c>
      <c r="C60" s="65">
        <f t="shared" ca="1" si="11"/>
        <v>0.47782531682432672</v>
      </c>
      <c r="D60" s="71">
        <f t="shared" si="16"/>
        <v>0.60959999999999936</v>
      </c>
      <c r="E60" s="65">
        <f t="shared" ca="1" si="3"/>
        <v>0.48481255703022103</v>
      </c>
      <c r="G60" s="71">
        <f t="shared" si="14"/>
        <v>0.61380000000000234</v>
      </c>
      <c r="H60" s="65">
        <f t="shared" ca="1" si="4"/>
        <v>0.50761427133048875</v>
      </c>
    </row>
    <row r="61" spans="1:8" x14ac:dyDescent="0.25">
      <c r="A61" s="38">
        <f t="shared" si="9"/>
        <v>41334</v>
      </c>
      <c r="B61" s="40">
        <f t="shared" si="15"/>
        <v>0.49399999999999977</v>
      </c>
      <c r="C61" s="65">
        <f t="shared" ca="1" si="11"/>
        <v>0.47451031467722588</v>
      </c>
      <c r="D61" s="71">
        <f t="shared" si="16"/>
        <v>0.60459999999999936</v>
      </c>
      <c r="E61" s="65">
        <f t="shared" ca="1" si="3"/>
        <v>0.56928873458728435</v>
      </c>
      <c r="G61" s="71">
        <f t="shared" si="14"/>
        <v>0.6152000000000023</v>
      </c>
      <c r="H61" s="65">
        <f t="shared" ca="1" si="4"/>
        <v>0.52336295395087884</v>
      </c>
    </row>
    <row r="62" spans="1:8" x14ac:dyDescent="0.25">
      <c r="A62" s="38">
        <f t="shared" si="9"/>
        <v>41335</v>
      </c>
      <c r="B62" s="40">
        <f t="shared" si="15"/>
        <v>0.49599999999999977</v>
      </c>
      <c r="C62" s="65">
        <f t="shared" ca="1" si="11"/>
        <v>0.48578562129080549</v>
      </c>
      <c r="D62" s="71">
        <f t="shared" si="16"/>
        <v>0.59959999999999936</v>
      </c>
      <c r="E62" s="65">
        <f t="shared" ca="1" si="3"/>
        <v>0.52996204185817208</v>
      </c>
      <c r="G62" s="71">
        <f t="shared" si="14"/>
        <v>0.61660000000000226</v>
      </c>
      <c r="H62" s="65">
        <f t="shared" ca="1" si="4"/>
        <v>0.52627668228953861</v>
      </c>
    </row>
    <row r="63" spans="1:8" x14ac:dyDescent="0.25">
      <c r="A63" s="38">
        <f t="shared" si="9"/>
        <v>41336</v>
      </c>
      <c r="B63" s="40">
        <f t="shared" si="15"/>
        <v>0.49799999999999978</v>
      </c>
      <c r="C63" s="65">
        <f t="shared" ca="1" si="11"/>
        <v>0.52711412645634192</v>
      </c>
      <c r="D63" s="71">
        <f t="shared" si="16"/>
        <v>0.59459999999999935</v>
      </c>
      <c r="E63" s="65">
        <f t="shared" ca="1" si="3"/>
        <v>0.55330924836206408</v>
      </c>
      <c r="G63" s="71">
        <f t="shared" si="14"/>
        <v>0.61800000000000221</v>
      </c>
      <c r="H63" s="65">
        <f t="shared" ca="1" si="4"/>
        <v>0.44075179593157826</v>
      </c>
    </row>
    <row r="64" spans="1:8" x14ac:dyDescent="0.25">
      <c r="A64" s="38">
        <f t="shared" si="9"/>
        <v>41337</v>
      </c>
      <c r="B64" s="40">
        <f t="shared" si="15"/>
        <v>0.49999999999999978</v>
      </c>
      <c r="C64" s="65">
        <f t="shared" ca="1" si="11"/>
        <v>0.5210883228384382</v>
      </c>
      <c r="D64" s="71">
        <f t="shared" si="16"/>
        <v>0.58959999999999935</v>
      </c>
      <c r="E64" s="65">
        <f t="shared" ca="1" si="3"/>
        <v>0.55872804994659631</v>
      </c>
      <c r="G64" s="71">
        <f t="shared" si="14"/>
        <v>0.61940000000000217</v>
      </c>
      <c r="H64" s="65">
        <f t="shared" ca="1" si="4"/>
        <v>0.56378886645748638</v>
      </c>
    </row>
    <row r="65" spans="1:8" x14ac:dyDescent="0.25">
      <c r="A65" s="38">
        <f t="shared" si="9"/>
        <v>41338</v>
      </c>
      <c r="B65" s="40">
        <f t="shared" si="15"/>
        <v>0.50199999999999978</v>
      </c>
      <c r="C65" s="65">
        <f t="shared" ca="1" si="11"/>
        <v>0.56353099854000999</v>
      </c>
      <c r="D65" s="71">
        <f t="shared" si="16"/>
        <v>0.58459999999999934</v>
      </c>
      <c r="E65" s="65">
        <f t="shared" ca="1" si="3"/>
        <v>0.46534027401391037</v>
      </c>
      <c r="G65" s="71">
        <f t="shared" ref="G65:G98" si="17">G66-0.0014</f>
        <v>0.62080000000000213</v>
      </c>
      <c r="H65" s="65">
        <f t="shared" ca="1" si="4"/>
        <v>0.46759015821223043</v>
      </c>
    </row>
    <row r="66" spans="1:8" x14ac:dyDescent="0.25">
      <c r="A66" s="38">
        <f t="shared" si="9"/>
        <v>41339</v>
      </c>
      <c r="B66" s="40">
        <f t="shared" si="15"/>
        <v>0.50399999999999978</v>
      </c>
      <c r="C66" s="65">
        <f t="shared" ca="1" si="11"/>
        <v>0.58091046170022664</v>
      </c>
      <c r="D66" s="71">
        <f t="shared" si="16"/>
        <v>0.57959999999999934</v>
      </c>
      <c r="E66" s="65">
        <f t="shared" ca="1" si="3"/>
        <v>0.50302762380252086</v>
      </c>
      <c r="G66" s="71">
        <f t="shared" si="17"/>
        <v>0.62220000000000208</v>
      </c>
      <c r="H66" s="65">
        <f t="shared" ca="1" si="4"/>
        <v>0.57403854290446565</v>
      </c>
    </row>
    <row r="67" spans="1:8" x14ac:dyDescent="0.25">
      <c r="A67" s="38">
        <f t="shared" si="9"/>
        <v>41340</v>
      </c>
      <c r="B67" s="40">
        <f t="shared" si="15"/>
        <v>0.50599999999999978</v>
      </c>
      <c r="C67" s="65">
        <f t="shared" ca="1" si="11"/>
        <v>0.52940680067194834</v>
      </c>
      <c r="D67" s="71">
        <f t="shared" si="16"/>
        <v>0.57459999999999933</v>
      </c>
      <c r="E67" s="65">
        <f t="shared" ca="1" si="3"/>
        <v>0.42840755390746005</v>
      </c>
      <c r="G67" s="71">
        <f t="shared" si="17"/>
        <v>0.62360000000000204</v>
      </c>
      <c r="H67" s="65">
        <f t="shared" ca="1" si="4"/>
        <v>0.50159528394458652</v>
      </c>
    </row>
    <row r="68" spans="1:8" x14ac:dyDescent="0.25">
      <c r="A68" s="38">
        <f t="shared" si="9"/>
        <v>41341</v>
      </c>
      <c r="B68" s="40">
        <f t="shared" si="15"/>
        <v>0.50799999999999979</v>
      </c>
      <c r="C68" s="65">
        <f t="shared" ca="1" si="11"/>
        <v>0.50855248049243862</v>
      </c>
      <c r="D68" s="71">
        <f t="shared" si="16"/>
        <v>0.56959999999999933</v>
      </c>
      <c r="E68" s="65">
        <f t="shared" ca="1" si="3"/>
        <v>0.50246432558823573</v>
      </c>
      <c r="G68" s="71">
        <f t="shared" si="17"/>
        <v>0.625000000000002</v>
      </c>
      <c r="H68" s="65">
        <f t="shared" ca="1" si="4"/>
        <v>0.58551856692857274</v>
      </c>
    </row>
    <row r="69" spans="1:8" x14ac:dyDescent="0.25">
      <c r="A69" s="38">
        <f t="shared" ref="A69:A100" si="18">A68+1</f>
        <v>41342</v>
      </c>
      <c r="B69" s="40">
        <f t="shared" si="15"/>
        <v>0.50999999999999979</v>
      </c>
      <c r="C69" s="65">
        <f t="shared" ca="1" si="11"/>
        <v>0.5447663981641756</v>
      </c>
      <c r="D69" s="71">
        <f t="shared" si="16"/>
        <v>0.56459999999999932</v>
      </c>
      <c r="E69" s="65">
        <f t="shared" ref="E69:E132" ca="1" si="19">RAND()*0.2+D69-0.2</f>
        <v>0.55075506090900106</v>
      </c>
      <c r="G69" s="71">
        <f t="shared" si="17"/>
        <v>0.62640000000000196</v>
      </c>
      <c r="H69" s="65">
        <f t="shared" ref="H69:H132" ca="1" si="20">RAND()*0.2+G69-0.2</f>
        <v>0.53262216863141876</v>
      </c>
    </row>
    <row r="70" spans="1:8" x14ac:dyDescent="0.25">
      <c r="A70" s="38">
        <f t="shared" si="18"/>
        <v>41343</v>
      </c>
      <c r="B70" s="40">
        <f t="shared" si="15"/>
        <v>0.51199999999999979</v>
      </c>
      <c r="C70" s="65">
        <f t="shared" ca="1" si="11"/>
        <v>0.5170854624575203</v>
      </c>
      <c r="D70" s="71">
        <f t="shared" si="16"/>
        <v>0.55959999999999932</v>
      </c>
      <c r="E70" s="65">
        <f t="shared" ca="1" si="19"/>
        <v>0.45937189019535313</v>
      </c>
      <c r="G70" s="71">
        <f t="shared" si="17"/>
        <v>0.62780000000000191</v>
      </c>
      <c r="H70" s="65">
        <f t="shared" ca="1" si="20"/>
        <v>0.55731627055352484</v>
      </c>
    </row>
    <row r="71" spans="1:8" x14ac:dyDescent="0.25">
      <c r="A71" s="38">
        <f t="shared" si="18"/>
        <v>41344</v>
      </c>
      <c r="B71" s="40">
        <f t="shared" si="15"/>
        <v>0.51399999999999979</v>
      </c>
      <c r="C71" s="65">
        <f t="shared" ca="1" si="11"/>
        <v>0.54137752027579067</v>
      </c>
      <c r="D71" s="71">
        <f t="shared" si="16"/>
        <v>0.55459999999999932</v>
      </c>
      <c r="E71" s="65">
        <f t="shared" ca="1" si="19"/>
        <v>0.53914949915427823</v>
      </c>
      <c r="G71" s="71">
        <f t="shared" si="17"/>
        <v>0.62920000000000187</v>
      </c>
      <c r="H71" s="65">
        <f t="shared" ca="1" si="20"/>
        <v>0.50552159615521264</v>
      </c>
    </row>
    <row r="72" spans="1:8" x14ac:dyDescent="0.25">
      <c r="A72" s="38">
        <f t="shared" si="18"/>
        <v>41345</v>
      </c>
      <c r="B72" s="40">
        <f t="shared" si="15"/>
        <v>0.51599999999999979</v>
      </c>
      <c r="C72" s="65">
        <f t="shared" ca="1" si="11"/>
        <v>0.55513067534764116</v>
      </c>
      <c r="D72" s="71">
        <f t="shared" si="16"/>
        <v>0.54959999999999931</v>
      </c>
      <c r="E72" s="65">
        <f t="shared" ca="1" si="19"/>
        <v>0.49215842496890833</v>
      </c>
      <c r="G72" s="71">
        <f t="shared" si="17"/>
        <v>0.63060000000000183</v>
      </c>
      <c r="H72" s="65">
        <f t="shared" ca="1" si="20"/>
        <v>0.45523801112465562</v>
      </c>
    </row>
    <row r="73" spans="1:8" x14ac:dyDescent="0.25">
      <c r="A73" s="38">
        <f t="shared" si="18"/>
        <v>41346</v>
      </c>
      <c r="B73" s="40">
        <f t="shared" si="15"/>
        <v>0.51799999999999979</v>
      </c>
      <c r="C73" s="65">
        <f t="shared" ca="1" si="11"/>
        <v>0.51755360566774233</v>
      </c>
      <c r="D73" s="71">
        <f t="shared" si="16"/>
        <v>0.54459999999999931</v>
      </c>
      <c r="E73" s="65">
        <f t="shared" ca="1" si="19"/>
        <v>0.46113536743319433</v>
      </c>
      <c r="G73" s="71">
        <f t="shared" si="17"/>
        <v>0.63200000000000178</v>
      </c>
      <c r="H73" s="65">
        <f t="shared" ca="1" si="20"/>
        <v>0.49946810992114349</v>
      </c>
    </row>
    <row r="74" spans="1:8" x14ac:dyDescent="0.25">
      <c r="A74" s="38">
        <f t="shared" si="18"/>
        <v>41347</v>
      </c>
      <c r="B74" s="40">
        <f t="shared" si="15"/>
        <v>0.5199999999999998</v>
      </c>
      <c r="C74" s="65">
        <f t="shared" ca="1" si="11"/>
        <v>0.59884823525946174</v>
      </c>
      <c r="D74" s="71">
        <f t="shared" si="16"/>
        <v>0.5395999999999993</v>
      </c>
      <c r="E74" s="65">
        <f t="shared" ca="1" si="19"/>
        <v>0.47005168091647548</v>
      </c>
      <c r="G74" s="71">
        <f t="shared" si="17"/>
        <v>0.63340000000000174</v>
      </c>
      <c r="H74" s="65">
        <f t="shared" ca="1" si="20"/>
        <v>0.4494822215544883</v>
      </c>
    </row>
    <row r="75" spans="1:8" x14ac:dyDescent="0.25">
      <c r="A75" s="38">
        <f t="shared" si="18"/>
        <v>41348</v>
      </c>
      <c r="B75" s="40">
        <f t="shared" si="15"/>
        <v>0.5219999999999998</v>
      </c>
      <c r="C75" s="65">
        <f t="shared" ca="1" si="11"/>
        <v>0.50738083585949445</v>
      </c>
      <c r="D75" s="71">
        <f t="shared" si="16"/>
        <v>0.5345999999999993</v>
      </c>
      <c r="E75" s="65">
        <f t="shared" ca="1" si="19"/>
        <v>0.46939180675180808</v>
      </c>
      <c r="G75" s="71">
        <f t="shared" si="17"/>
        <v>0.6348000000000017</v>
      </c>
      <c r="H75" s="65">
        <f t="shared" ca="1" si="20"/>
        <v>0.53572226059850281</v>
      </c>
    </row>
    <row r="76" spans="1:8" x14ac:dyDescent="0.25">
      <c r="A76" s="38">
        <f t="shared" si="18"/>
        <v>41349</v>
      </c>
      <c r="B76" s="40">
        <f t="shared" ref="B76:B81" si="21">B77+0.02</f>
        <v>0.5239999999999998</v>
      </c>
      <c r="C76" s="65">
        <f t="shared" ca="1" si="11"/>
        <v>0.54364683837722616</v>
      </c>
      <c r="D76" s="71">
        <f>D77+0.005</f>
        <v>0.52959999999999929</v>
      </c>
      <c r="E76" s="65">
        <f t="shared" ca="1" si="19"/>
        <v>0.46319938865291216</v>
      </c>
      <c r="G76" s="71">
        <f t="shared" si="17"/>
        <v>0.63620000000000165</v>
      </c>
      <c r="H76" s="65">
        <f t="shared" ca="1" si="20"/>
        <v>0.57729942504419429</v>
      </c>
    </row>
    <row r="77" spans="1:8" x14ac:dyDescent="0.25">
      <c r="A77" s="38">
        <f t="shared" si="18"/>
        <v>41350</v>
      </c>
      <c r="B77" s="40">
        <f t="shared" si="21"/>
        <v>0.50399999999999978</v>
      </c>
      <c r="C77" s="65">
        <f t="shared" ca="1" si="11"/>
        <v>0.52457643824274003</v>
      </c>
      <c r="D77" s="71">
        <f t="shared" ref="D77:D89" si="22">D78-0.0048</f>
        <v>0.52459999999999929</v>
      </c>
      <c r="E77" s="65">
        <f t="shared" ca="1" si="19"/>
        <v>0.43269966473186222</v>
      </c>
      <c r="G77" s="71">
        <f t="shared" si="17"/>
        <v>0.63760000000000161</v>
      </c>
      <c r="H77" s="65">
        <f t="shared" ca="1" si="20"/>
        <v>0.47403216322251268</v>
      </c>
    </row>
    <row r="78" spans="1:8" x14ac:dyDescent="0.25">
      <c r="A78" s="38">
        <f t="shared" si="18"/>
        <v>41351</v>
      </c>
      <c r="B78" s="40">
        <f t="shared" si="21"/>
        <v>0.48399999999999982</v>
      </c>
      <c r="C78" s="65">
        <f t="shared" ca="1" si="11"/>
        <v>0.487244073154115</v>
      </c>
      <c r="D78" s="71">
        <f t="shared" si="22"/>
        <v>0.52939999999999932</v>
      </c>
      <c r="E78" s="65">
        <f t="shared" ca="1" si="19"/>
        <v>0.32981773361403738</v>
      </c>
      <c r="G78" s="71">
        <f t="shared" si="17"/>
        <v>0.63900000000000157</v>
      </c>
      <c r="H78" s="65">
        <f t="shared" ca="1" si="20"/>
        <v>0.63298118130530479</v>
      </c>
    </row>
    <row r="79" spans="1:8" x14ac:dyDescent="0.25">
      <c r="A79" s="38">
        <f t="shared" si="18"/>
        <v>41352</v>
      </c>
      <c r="B79" s="40">
        <f t="shared" si="21"/>
        <v>0.4639999999999998</v>
      </c>
      <c r="C79" s="65">
        <f t="shared" ca="1" si="11"/>
        <v>0.47088654206669489</v>
      </c>
      <c r="D79" s="71">
        <f t="shared" si="22"/>
        <v>0.53419999999999934</v>
      </c>
      <c r="E79" s="65">
        <f t="shared" ca="1" si="19"/>
        <v>0.39519484960473933</v>
      </c>
      <c r="G79" s="71">
        <f t="shared" si="17"/>
        <v>0.64040000000000152</v>
      </c>
      <c r="H79" s="65">
        <f t="shared" ca="1" si="20"/>
        <v>0.45682008671561297</v>
      </c>
    </row>
    <row r="80" spans="1:8" x14ac:dyDescent="0.25">
      <c r="A80" s="38">
        <f t="shared" si="18"/>
        <v>41353</v>
      </c>
      <c r="B80" s="40">
        <f t="shared" si="21"/>
        <v>0.44399999999999978</v>
      </c>
      <c r="C80" s="65">
        <f t="shared" ca="1" si="11"/>
        <v>0.43986993941347013</v>
      </c>
      <c r="D80" s="71">
        <f t="shared" si="22"/>
        <v>0.53899999999999937</v>
      </c>
      <c r="E80" s="65">
        <f t="shared" ca="1" si="19"/>
        <v>0.38469711164079173</v>
      </c>
      <c r="G80" s="71">
        <f t="shared" si="17"/>
        <v>0.64180000000000148</v>
      </c>
      <c r="H80" s="65">
        <f t="shared" ca="1" si="20"/>
        <v>0.44541054572970812</v>
      </c>
    </row>
    <row r="81" spans="1:8" x14ac:dyDescent="0.25">
      <c r="A81" s="38">
        <f t="shared" si="18"/>
        <v>41354</v>
      </c>
      <c r="B81" s="40">
        <f t="shared" si="21"/>
        <v>0.42399999999999977</v>
      </c>
      <c r="C81" s="65">
        <f t="shared" ca="1" si="11"/>
        <v>0.45626020226582964</v>
      </c>
      <c r="D81" s="71">
        <f t="shared" si="22"/>
        <v>0.54379999999999939</v>
      </c>
      <c r="E81" s="65">
        <f t="shared" ca="1" si="19"/>
        <v>0.49408789062438035</v>
      </c>
      <c r="G81" s="71">
        <f t="shared" si="17"/>
        <v>0.64320000000000144</v>
      </c>
      <c r="H81" s="65">
        <f t="shared" ca="1" si="20"/>
        <v>0.60645107835647649</v>
      </c>
    </row>
    <row r="82" spans="1:8" x14ac:dyDescent="0.25">
      <c r="A82" s="38">
        <f t="shared" si="18"/>
        <v>41355</v>
      </c>
      <c r="B82" s="40">
        <f>B83-0.04</f>
        <v>0.40399999999999975</v>
      </c>
      <c r="C82" s="65">
        <f t="shared" ca="1" si="11"/>
        <v>0.45579321593594763</v>
      </c>
      <c r="D82" s="71">
        <f t="shared" si="22"/>
        <v>0.54859999999999942</v>
      </c>
      <c r="E82" s="65">
        <f t="shared" ca="1" si="19"/>
        <v>0.42926274777543943</v>
      </c>
      <c r="G82" s="71">
        <f t="shared" si="17"/>
        <v>0.64460000000000139</v>
      </c>
      <c r="H82" s="65">
        <f t="shared" ca="1" si="20"/>
        <v>0.5517765817889273</v>
      </c>
    </row>
    <row r="83" spans="1:8" x14ac:dyDescent="0.25">
      <c r="A83" s="38">
        <f t="shared" si="18"/>
        <v>41356</v>
      </c>
      <c r="B83" s="40">
        <f t="shared" ref="B83:B89" si="23">B84-0.03</f>
        <v>0.44399999999999973</v>
      </c>
      <c r="C83" s="65">
        <f t="shared" ref="C83:C100" ca="1" si="24">RAND()*0.2+B83-0.2</f>
        <v>0.27118007783420955</v>
      </c>
      <c r="D83" s="71">
        <f t="shared" si="22"/>
        <v>0.55339999999999945</v>
      </c>
      <c r="E83" s="65">
        <f t="shared" ca="1" si="19"/>
        <v>0.47698960764371762</v>
      </c>
      <c r="G83" s="71">
        <f t="shared" si="17"/>
        <v>0.64600000000000135</v>
      </c>
      <c r="H83" s="65">
        <f t="shared" ca="1" si="20"/>
        <v>0.63201155879154514</v>
      </c>
    </row>
    <row r="84" spans="1:8" x14ac:dyDescent="0.25">
      <c r="A84" s="38">
        <f t="shared" si="18"/>
        <v>41357</v>
      </c>
      <c r="B84" s="40">
        <f t="shared" si="23"/>
        <v>0.47399999999999975</v>
      </c>
      <c r="C84" s="65">
        <f t="shared" ca="1" si="24"/>
        <v>0.4462830609651916</v>
      </c>
      <c r="D84" s="71">
        <f t="shared" si="22"/>
        <v>0.55819999999999947</v>
      </c>
      <c r="E84" s="65">
        <f t="shared" ca="1" si="19"/>
        <v>0.37789705837399762</v>
      </c>
      <c r="G84" s="71">
        <f t="shared" si="17"/>
        <v>0.64740000000000131</v>
      </c>
      <c r="H84" s="65">
        <f t="shared" ca="1" si="20"/>
        <v>0.61151970176679127</v>
      </c>
    </row>
    <row r="85" spans="1:8" x14ac:dyDescent="0.25">
      <c r="A85" s="38">
        <f t="shared" si="18"/>
        <v>41358</v>
      </c>
      <c r="B85" s="40">
        <f t="shared" si="23"/>
        <v>0.50399999999999978</v>
      </c>
      <c r="C85" s="65">
        <f t="shared" ca="1" si="24"/>
        <v>0.48185181846906849</v>
      </c>
      <c r="D85" s="71">
        <f t="shared" si="22"/>
        <v>0.5629999999999995</v>
      </c>
      <c r="E85" s="65">
        <f t="shared" ca="1" si="19"/>
        <v>0.50121069952283981</v>
      </c>
      <c r="G85" s="71">
        <f t="shared" si="17"/>
        <v>0.64880000000000126</v>
      </c>
      <c r="H85" s="65">
        <f t="shared" ca="1" si="20"/>
        <v>0.46554200134263274</v>
      </c>
    </row>
    <row r="86" spans="1:8" x14ac:dyDescent="0.25">
      <c r="A86" s="38">
        <f t="shared" si="18"/>
        <v>41359</v>
      </c>
      <c r="B86" s="40">
        <f t="shared" si="23"/>
        <v>0.53399999999999981</v>
      </c>
      <c r="C86" s="65">
        <f t="shared" ca="1" si="24"/>
        <v>0.52932277098311387</v>
      </c>
      <c r="D86" s="71">
        <f t="shared" si="22"/>
        <v>0.56779999999999953</v>
      </c>
      <c r="E86" s="65">
        <f t="shared" ca="1" si="19"/>
        <v>0.4888834752461157</v>
      </c>
      <c r="G86" s="71">
        <f t="shared" si="17"/>
        <v>0.65020000000000122</v>
      </c>
      <c r="H86" s="65">
        <f t="shared" ca="1" si="20"/>
        <v>0.49977662172819787</v>
      </c>
    </row>
    <row r="87" spans="1:8" x14ac:dyDescent="0.25">
      <c r="A87" s="38">
        <f t="shared" si="18"/>
        <v>41360</v>
      </c>
      <c r="B87" s="40">
        <f t="shared" si="23"/>
        <v>0.56399999999999983</v>
      </c>
      <c r="C87" s="65">
        <f t="shared" ca="1" si="24"/>
        <v>0.46361745564178997</v>
      </c>
      <c r="D87" s="71">
        <f t="shared" si="22"/>
        <v>0.57259999999999955</v>
      </c>
      <c r="E87" s="65">
        <f t="shared" ca="1" si="19"/>
        <v>0.40457558621533668</v>
      </c>
      <c r="G87" s="71">
        <f t="shared" si="17"/>
        <v>0.65160000000000118</v>
      </c>
      <c r="H87" s="65">
        <f t="shared" ca="1" si="20"/>
        <v>0.45172715445409345</v>
      </c>
    </row>
    <row r="88" spans="1:8" x14ac:dyDescent="0.25">
      <c r="A88" s="38">
        <f t="shared" si="18"/>
        <v>41361</v>
      </c>
      <c r="B88" s="40">
        <f t="shared" si="23"/>
        <v>0.59399999999999986</v>
      </c>
      <c r="C88" s="65">
        <f t="shared" ca="1" si="24"/>
        <v>0.48084627782512562</v>
      </c>
      <c r="D88" s="71">
        <f t="shared" si="22"/>
        <v>0.57739999999999958</v>
      </c>
      <c r="E88" s="65">
        <f t="shared" ca="1" si="19"/>
        <v>0.52135471497950614</v>
      </c>
      <c r="G88" s="71">
        <f t="shared" si="17"/>
        <v>0.65300000000000114</v>
      </c>
      <c r="H88" s="65">
        <f t="shared" ca="1" si="20"/>
        <v>0.62235578332007835</v>
      </c>
    </row>
    <row r="89" spans="1:8" x14ac:dyDescent="0.25">
      <c r="A89" s="38">
        <f t="shared" si="18"/>
        <v>41362</v>
      </c>
      <c r="B89" s="40">
        <f t="shared" si="23"/>
        <v>0.62399999999999989</v>
      </c>
      <c r="C89" s="65">
        <f t="shared" ca="1" si="24"/>
        <v>0.5773275214406588</v>
      </c>
      <c r="D89" s="71">
        <f t="shared" si="22"/>
        <v>0.58219999999999961</v>
      </c>
      <c r="E89" s="65">
        <f t="shared" ca="1" si="19"/>
        <v>0.45427090491042504</v>
      </c>
      <c r="G89" s="71">
        <f t="shared" si="17"/>
        <v>0.65440000000000109</v>
      </c>
      <c r="H89" s="65">
        <f t="shared" ca="1" si="20"/>
        <v>0.48442030223762506</v>
      </c>
    </row>
    <row r="90" spans="1:8" x14ac:dyDescent="0.25">
      <c r="A90" s="38">
        <f t="shared" si="18"/>
        <v>41363</v>
      </c>
      <c r="B90" s="40">
        <f>B91+0.05</f>
        <v>0.65399999999999991</v>
      </c>
      <c r="C90" s="65">
        <f t="shared" ca="1" si="24"/>
        <v>0.50120096249974133</v>
      </c>
      <c r="D90" s="71">
        <f t="shared" ref="D90:D99" si="25">D91-0.0048</f>
        <v>0.58699999999999963</v>
      </c>
      <c r="E90" s="65">
        <f t="shared" ca="1" si="19"/>
        <v>0.45557045940970936</v>
      </c>
      <c r="G90" s="71">
        <f t="shared" si="17"/>
        <v>0.65580000000000105</v>
      </c>
      <c r="H90" s="65">
        <f t="shared" ca="1" si="20"/>
        <v>0.53285105267957866</v>
      </c>
    </row>
    <row r="91" spans="1:8" x14ac:dyDescent="0.25">
      <c r="A91" s="38">
        <f t="shared" si="18"/>
        <v>41364</v>
      </c>
      <c r="B91" s="40">
        <f>B92+0.05</f>
        <v>0.60399999999999987</v>
      </c>
      <c r="C91" s="65">
        <f t="shared" ca="1" si="24"/>
        <v>0.46730556280591534</v>
      </c>
      <c r="D91" s="71">
        <f t="shared" si="25"/>
        <v>0.59179999999999966</v>
      </c>
      <c r="E91" s="65">
        <f t="shared" ca="1" si="19"/>
        <v>0.58033657211451239</v>
      </c>
      <c r="G91" s="71">
        <f t="shared" si="17"/>
        <v>0.65720000000000101</v>
      </c>
      <c r="H91" s="65">
        <f t="shared" ca="1" si="20"/>
        <v>0.65666681898709878</v>
      </c>
    </row>
    <row r="92" spans="1:8" x14ac:dyDescent="0.25">
      <c r="A92" s="38">
        <f t="shared" si="18"/>
        <v>41365</v>
      </c>
      <c r="B92" s="40">
        <f>B93+0.05</f>
        <v>0.55399999999999983</v>
      </c>
      <c r="C92" s="65">
        <f t="shared" ca="1" si="24"/>
        <v>0.46666278285583224</v>
      </c>
      <c r="D92" s="71">
        <f t="shared" si="25"/>
        <v>0.59659999999999969</v>
      </c>
      <c r="E92" s="65">
        <f t="shared" ca="1" si="19"/>
        <v>0.55456955100330863</v>
      </c>
      <c r="G92" s="71">
        <f t="shared" si="17"/>
        <v>0.65860000000000096</v>
      </c>
      <c r="H92" s="65">
        <f t="shared" ca="1" si="20"/>
        <v>0.60163470304939914</v>
      </c>
    </row>
    <row r="93" spans="1:8" x14ac:dyDescent="0.25">
      <c r="A93" s="38">
        <f t="shared" si="18"/>
        <v>41366</v>
      </c>
      <c r="B93" s="40">
        <f>B94+0.05</f>
        <v>0.50399999999999978</v>
      </c>
      <c r="C93" s="65">
        <f t="shared" ca="1" si="24"/>
        <v>0.39755167964753141</v>
      </c>
      <c r="D93" s="71">
        <f t="shared" si="25"/>
        <v>0.60139999999999971</v>
      </c>
      <c r="E93" s="65">
        <f t="shared" ca="1" si="19"/>
        <v>0.55169824808218082</v>
      </c>
      <c r="G93" s="71">
        <f t="shared" si="17"/>
        <v>0.66000000000000092</v>
      </c>
      <c r="H93" s="65">
        <f t="shared" ca="1" si="20"/>
        <v>0.56004700780473105</v>
      </c>
    </row>
    <row r="94" spans="1:8" x14ac:dyDescent="0.25">
      <c r="A94" s="38">
        <f t="shared" si="18"/>
        <v>41367</v>
      </c>
      <c r="B94" s="40">
        <f>B95-0.005</f>
        <v>0.45399999999999974</v>
      </c>
      <c r="C94" s="65">
        <f t="shared" ca="1" si="24"/>
        <v>0.45097599999109278</v>
      </c>
      <c r="D94" s="71">
        <f t="shared" si="25"/>
        <v>0.60619999999999974</v>
      </c>
      <c r="E94" s="65">
        <f t="shared" ca="1" si="19"/>
        <v>0.54693211919705687</v>
      </c>
      <c r="G94" s="71">
        <f t="shared" si="17"/>
        <v>0.66140000000000088</v>
      </c>
      <c r="H94" s="65">
        <f t="shared" ca="1" si="20"/>
        <v>0.50488596484265647</v>
      </c>
    </row>
    <row r="95" spans="1:8" x14ac:dyDescent="0.25">
      <c r="A95" s="38">
        <f t="shared" si="18"/>
        <v>41368</v>
      </c>
      <c r="B95" s="40">
        <f t="shared" ref="B95:B107" si="26">B96-0.009</f>
        <v>0.45899999999999974</v>
      </c>
      <c r="C95" s="65">
        <f t="shared" ca="1" si="24"/>
        <v>0.44864278698116083</v>
      </c>
      <c r="D95" s="71">
        <f t="shared" si="25"/>
        <v>0.61099999999999977</v>
      </c>
      <c r="E95" s="65">
        <f t="shared" ca="1" si="19"/>
        <v>0.53574902006610636</v>
      </c>
      <c r="G95" s="71">
        <f t="shared" si="17"/>
        <v>0.66280000000000083</v>
      </c>
      <c r="H95" s="65">
        <f t="shared" ca="1" si="20"/>
        <v>0.59258265902017948</v>
      </c>
    </row>
    <row r="96" spans="1:8" x14ac:dyDescent="0.25">
      <c r="A96" s="38">
        <f t="shared" si="18"/>
        <v>41369</v>
      </c>
      <c r="B96" s="40">
        <f t="shared" si="26"/>
        <v>0.46799999999999975</v>
      </c>
      <c r="C96" s="65">
        <f t="shared" ca="1" si="24"/>
        <v>0.31015014824178294</v>
      </c>
      <c r="D96" s="71">
        <f t="shared" si="25"/>
        <v>0.61579999999999979</v>
      </c>
      <c r="E96" s="65">
        <f t="shared" ca="1" si="19"/>
        <v>0.43889016454890567</v>
      </c>
      <c r="G96" s="71">
        <f t="shared" si="17"/>
        <v>0.66420000000000079</v>
      </c>
      <c r="H96" s="65">
        <f t="shared" ca="1" si="20"/>
        <v>0.59278715549431027</v>
      </c>
    </row>
    <row r="97" spans="1:8" x14ac:dyDescent="0.25">
      <c r="A97" s="38">
        <f t="shared" si="18"/>
        <v>41370</v>
      </c>
      <c r="B97" s="40">
        <f t="shared" si="26"/>
        <v>0.47699999999999976</v>
      </c>
      <c r="C97" s="65">
        <f t="shared" ca="1" si="24"/>
        <v>0.35749116231356209</v>
      </c>
      <c r="D97" s="71">
        <f t="shared" si="25"/>
        <v>0.62059999999999982</v>
      </c>
      <c r="E97" s="65">
        <f t="shared" ca="1" si="19"/>
        <v>0.53185854476963379</v>
      </c>
      <c r="G97" s="71">
        <f t="shared" si="17"/>
        <v>0.66560000000000075</v>
      </c>
      <c r="H97" s="65">
        <f t="shared" ca="1" si="20"/>
        <v>0.49769632187786922</v>
      </c>
    </row>
    <row r="98" spans="1:8" x14ac:dyDescent="0.25">
      <c r="A98" s="38">
        <f t="shared" si="18"/>
        <v>41371</v>
      </c>
      <c r="B98" s="40">
        <f t="shared" si="26"/>
        <v>0.48599999999999977</v>
      </c>
      <c r="C98" s="65">
        <f t="shared" ca="1" si="24"/>
        <v>0.3032082215635879</v>
      </c>
      <c r="D98" s="71">
        <f t="shared" si="25"/>
        <v>0.62539999999999984</v>
      </c>
      <c r="E98" s="65">
        <f t="shared" ca="1" si="19"/>
        <v>0.51857506723403834</v>
      </c>
      <c r="G98" s="71">
        <f t="shared" si="17"/>
        <v>0.6670000000000007</v>
      </c>
      <c r="H98" s="65">
        <f t="shared" ca="1" si="20"/>
        <v>0.64553450211396957</v>
      </c>
    </row>
    <row r="99" spans="1:8" x14ac:dyDescent="0.25">
      <c r="A99" s="38">
        <f t="shared" si="18"/>
        <v>41372</v>
      </c>
      <c r="B99" s="40">
        <f t="shared" si="26"/>
        <v>0.49499999999999977</v>
      </c>
      <c r="C99" s="65">
        <f t="shared" ca="1" si="24"/>
        <v>0.38508395936922574</v>
      </c>
      <c r="D99" s="71">
        <f t="shared" si="25"/>
        <v>0.63019999999999987</v>
      </c>
      <c r="E99" s="65">
        <f t="shared" ca="1" si="19"/>
        <v>0.5294505190181229</v>
      </c>
      <c r="G99" s="71">
        <f t="shared" ref="G99:G116" si="27">G100-0.0014</f>
        <v>0.66840000000000066</v>
      </c>
      <c r="H99" s="65">
        <f t="shared" ca="1" si="20"/>
        <v>0.50874444719863843</v>
      </c>
    </row>
    <row r="100" spans="1:8" x14ac:dyDescent="0.25">
      <c r="A100" s="38">
        <f t="shared" si="18"/>
        <v>41373</v>
      </c>
      <c r="B100" s="40">
        <f t="shared" si="26"/>
        <v>0.50399999999999978</v>
      </c>
      <c r="C100" s="65">
        <f t="shared" ca="1" si="24"/>
        <v>0.40015039501260335</v>
      </c>
      <c r="D100" s="71">
        <f t="shared" ref="D100:D106" si="28">D101-0.0048</f>
        <v>0.6349999999999999</v>
      </c>
      <c r="E100" s="65">
        <f t="shared" ca="1" si="19"/>
        <v>0.50551660254723885</v>
      </c>
      <c r="G100" s="71">
        <f t="shared" si="27"/>
        <v>0.66980000000000062</v>
      </c>
      <c r="H100" s="65">
        <f t="shared" ca="1" si="20"/>
        <v>0.49701607097232375</v>
      </c>
    </row>
    <row r="101" spans="1:8" x14ac:dyDescent="0.25">
      <c r="A101" s="38">
        <f t="shared" ref="A101:A132" si="29">A100+1</f>
        <v>41374</v>
      </c>
      <c r="B101" s="40">
        <f t="shared" si="26"/>
        <v>0.51299999999999979</v>
      </c>
      <c r="C101" s="65">
        <f t="shared" ref="C101:C132" ca="1" si="30">RAND()*0.1+B101-0.1</f>
        <v>0.44080074376070333</v>
      </c>
      <c r="D101" s="71">
        <f t="shared" si="28"/>
        <v>0.63979999999999992</v>
      </c>
      <c r="E101" s="65">
        <f t="shared" ca="1" si="19"/>
        <v>0.48017463615508399</v>
      </c>
      <c r="G101" s="71">
        <f t="shared" si="27"/>
        <v>0.67120000000000057</v>
      </c>
      <c r="H101" s="65">
        <f t="shared" ca="1" si="20"/>
        <v>0.54122380976843432</v>
      </c>
    </row>
    <row r="102" spans="1:8" x14ac:dyDescent="0.25">
      <c r="A102" s="38">
        <f t="shared" si="29"/>
        <v>41375</v>
      </c>
      <c r="B102" s="40">
        <f t="shared" si="26"/>
        <v>0.5219999999999998</v>
      </c>
      <c r="C102" s="65">
        <f t="shared" ca="1" si="30"/>
        <v>0.50053751038283267</v>
      </c>
      <c r="D102" s="71">
        <f t="shared" si="28"/>
        <v>0.64459999999999995</v>
      </c>
      <c r="E102" s="65">
        <f t="shared" ca="1" si="19"/>
        <v>0.48051938607774819</v>
      </c>
      <c r="G102" s="71">
        <f t="shared" si="27"/>
        <v>0.67260000000000053</v>
      </c>
      <c r="H102" s="65">
        <f t="shared" ca="1" si="20"/>
        <v>0.53324387470384793</v>
      </c>
    </row>
    <row r="103" spans="1:8" x14ac:dyDescent="0.25">
      <c r="A103" s="38">
        <f t="shared" si="29"/>
        <v>41376</v>
      </c>
      <c r="B103" s="40">
        <f t="shared" si="26"/>
        <v>0.53099999999999981</v>
      </c>
      <c r="C103" s="65">
        <f t="shared" ca="1" si="30"/>
        <v>0.44809800515843745</v>
      </c>
      <c r="D103" s="71">
        <f t="shared" si="28"/>
        <v>0.64939999999999998</v>
      </c>
      <c r="E103" s="65">
        <f t="shared" ca="1" si="19"/>
        <v>0.5780588344728812</v>
      </c>
      <c r="G103" s="71">
        <f t="shared" si="27"/>
        <v>0.67400000000000049</v>
      </c>
      <c r="H103" s="65">
        <f t="shared" ca="1" si="20"/>
        <v>0.51048883558003766</v>
      </c>
    </row>
    <row r="104" spans="1:8" x14ac:dyDescent="0.25">
      <c r="A104" s="38">
        <f t="shared" si="29"/>
        <v>41377</v>
      </c>
      <c r="B104" s="40">
        <f t="shared" si="26"/>
        <v>0.53999999999999981</v>
      </c>
      <c r="C104" s="65">
        <f t="shared" ca="1" si="30"/>
        <v>0.52277042686585229</v>
      </c>
      <c r="D104" s="71">
        <f t="shared" si="28"/>
        <v>0.6542</v>
      </c>
      <c r="E104" s="65">
        <f t="shared" ca="1" si="19"/>
        <v>0.65321033465319411</v>
      </c>
      <c r="G104" s="71">
        <f t="shared" si="27"/>
        <v>0.67540000000000044</v>
      </c>
      <c r="H104" s="65">
        <f t="shared" ca="1" si="20"/>
        <v>0.64998002068911798</v>
      </c>
    </row>
    <row r="105" spans="1:8" x14ac:dyDescent="0.25">
      <c r="A105" s="38">
        <f t="shared" si="29"/>
        <v>41378</v>
      </c>
      <c r="B105" s="40">
        <f t="shared" si="26"/>
        <v>0.54899999999999982</v>
      </c>
      <c r="C105" s="65">
        <f t="shared" ca="1" si="30"/>
        <v>0.51169708984991835</v>
      </c>
      <c r="D105" s="71">
        <f t="shared" si="28"/>
        <v>0.65900000000000003</v>
      </c>
      <c r="E105" s="65">
        <f t="shared" ca="1" si="19"/>
        <v>0.48700686929855924</v>
      </c>
      <c r="G105" s="71">
        <f t="shared" si="27"/>
        <v>0.6768000000000004</v>
      </c>
      <c r="H105" s="65">
        <f t="shared" ca="1" si="20"/>
        <v>0.66525632649173483</v>
      </c>
    </row>
    <row r="106" spans="1:8" x14ac:dyDescent="0.25">
      <c r="A106" s="38">
        <f t="shared" si="29"/>
        <v>41379</v>
      </c>
      <c r="B106" s="40">
        <f t="shared" si="26"/>
        <v>0.55799999999999983</v>
      </c>
      <c r="C106" s="65">
        <f t="shared" ca="1" si="30"/>
        <v>0.4856886824236617</v>
      </c>
      <c r="D106" s="71">
        <f t="shared" si="28"/>
        <v>0.66380000000000006</v>
      </c>
      <c r="E106" s="65">
        <f t="shared" ca="1" si="19"/>
        <v>0.57688378358403392</v>
      </c>
      <c r="G106" s="71">
        <f t="shared" si="27"/>
        <v>0.67820000000000036</v>
      </c>
      <c r="H106" s="65">
        <f t="shared" ca="1" si="20"/>
        <v>0.52815702468696446</v>
      </c>
    </row>
    <row r="107" spans="1:8" x14ac:dyDescent="0.25">
      <c r="A107" s="38">
        <f t="shared" si="29"/>
        <v>41380</v>
      </c>
      <c r="B107" s="40">
        <f t="shared" si="26"/>
        <v>0.56699999999999984</v>
      </c>
      <c r="C107" s="65">
        <f t="shared" ca="1" si="30"/>
        <v>0.51250870783128577</v>
      </c>
      <c r="D107" s="71">
        <f>D108-0.0048</f>
        <v>0.66860000000000008</v>
      </c>
      <c r="E107" s="65">
        <f t="shared" ca="1" si="19"/>
        <v>0.57241262891419131</v>
      </c>
      <c r="G107" s="71">
        <f t="shared" si="27"/>
        <v>0.67960000000000031</v>
      </c>
      <c r="H107" s="65">
        <f t="shared" ca="1" si="20"/>
        <v>0.56609653568580987</v>
      </c>
    </row>
    <row r="108" spans="1:8" x14ac:dyDescent="0.25">
      <c r="A108" s="38">
        <f t="shared" si="29"/>
        <v>41381</v>
      </c>
      <c r="B108" s="40">
        <f>B109-0.01</f>
        <v>0.57599999999999985</v>
      </c>
      <c r="C108" s="65">
        <f t="shared" ca="1" si="30"/>
        <v>0.55661601792767212</v>
      </c>
      <c r="D108" s="71">
        <f t="shared" ref="D108:D115" si="31">D109+0.045</f>
        <v>0.67340000000000011</v>
      </c>
      <c r="E108" s="65">
        <f t="shared" ca="1" si="19"/>
        <v>0.5805370274327939</v>
      </c>
      <c r="G108" s="71">
        <f t="shared" si="27"/>
        <v>0.68100000000000027</v>
      </c>
      <c r="H108" s="65">
        <f t="shared" ca="1" si="20"/>
        <v>0.61729222804739114</v>
      </c>
    </row>
    <row r="109" spans="1:8" x14ac:dyDescent="0.25">
      <c r="A109" s="38">
        <f t="shared" si="29"/>
        <v>41382</v>
      </c>
      <c r="B109" s="40">
        <f>B110-0.01</f>
        <v>0.58599999999999985</v>
      </c>
      <c r="C109" s="65">
        <f t="shared" ca="1" si="30"/>
        <v>0.56090403090439134</v>
      </c>
      <c r="D109" s="71">
        <f t="shared" si="31"/>
        <v>0.62840000000000007</v>
      </c>
      <c r="E109" s="65">
        <f t="shared" ca="1" si="19"/>
        <v>0.61679007917678463</v>
      </c>
      <c r="G109" s="71">
        <f t="shared" si="27"/>
        <v>0.68240000000000023</v>
      </c>
      <c r="H109" s="65">
        <f t="shared" ca="1" si="20"/>
        <v>0.6647039401669983</v>
      </c>
    </row>
    <row r="110" spans="1:8" x14ac:dyDescent="0.25">
      <c r="A110" s="38">
        <f t="shared" si="29"/>
        <v>41383</v>
      </c>
      <c r="B110" s="40">
        <f>B111-0.01</f>
        <v>0.59599999999999986</v>
      </c>
      <c r="C110" s="65">
        <f t="shared" ca="1" si="30"/>
        <v>0.55695086356113466</v>
      </c>
      <c r="D110" s="71">
        <f t="shared" si="31"/>
        <v>0.58340000000000003</v>
      </c>
      <c r="E110" s="65">
        <f t="shared" ca="1" si="19"/>
        <v>0.53687907084470687</v>
      </c>
      <c r="G110" s="71">
        <f t="shared" si="27"/>
        <v>0.68380000000000019</v>
      </c>
      <c r="H110" s="65">
        <f t="shared" ca="1" si="20"/>
        <v>0.56290908786726734</v>
      </c>
    </row>
    <row r="111" spans="1:8" x14ac:dyDescent="0.25">
      <c r="A111" s="38">
        <f t="shared" si="29"/>
        <v>41384</v>
      </c>
      <c r="B111" s="40">
        <f>B112-0.01</f>
        <v>0.60599999999999987</v>
      </c>
      <c r="C111" s="65">
        <f t="shared" ca="1" si="30"/>
        <v>0.53640911877769593</v>
      </c>
      <c r="D111" s="71">
        <f t="shared" si="31"/>
        <v>0.53839999999999999</v>
      </c>
      <c r="E111" s="65">
        <f t="shared" ca="1" si="19"/>
        <v>0.34097055361062584</v>
      </c>
      <c r="G111" s="71">
        <f t="shared" si="27"/>
        <v>0.68520000000000014</v>
      </c>
      <c r="H111" s="65">
        <f t="shared" ca="1" si="20"/>
        <v>0.60997663415718595</v>
      </c>
    </row>
    <row r="112" spans="1:8" x14ac:dyDescent="0.25">
      <c r="A112" s="38">
        <f t="shared" si="29"/>
        <v>41385</v>
      </c>
      <c r="B112" s="40">
        <f t="shared" ref="B112:B136" si="32">B113-0.002</f>
        <v>0.61599999999999988</v>
      </c>
      <c r="C112" s="65">
        <f t="shared" ca="1" si="30"/>
        <v>0.56556331872583965</v>
      </c>
      <c r="D112" s="71">
        <f t="shared" si="31"/>
        <v>0.49340000000000001</v>
      </c>
      <c r="E112" s="65">
        <f t="shared" ca="1" si="19"/>
        <v>0.46126658705006313</v>
      </c>
      <c r="G112" s="71">
        <f t="shared" si="27"/>
        <v>0.6866000000000001</v>
      </c>
      <c r="H112" s="65">
        <f t="shared" ca="1" si="20"/>
        <v>0.51862082688582811</v>
      </c>
    </row>
    <row r="113" spans="1:8" x14ac:dyDescent="0.25">
      <c r="A113" s="38">
        <f t="shared" si="29"/>
        <v>41386</v>
      </c>
      <c r="B113" s="40">
        <f t="shared" si="32"/>
        <v>0.61799999999999988</v>
      </c>
      <c r="C113" s="65">
        <f t="shared" ca="1" si="30"/>
        <v>0.61255221656404468</v>
      </c>
      <c r="D113" s="71">
        <f t="shared" si="31"/>
        <v>0.44840000000000002</v>
      </c>
      <c r="E113" s="65">
        <f t="shared" ca="1" si="19"/>
        <v>0.25652774747090307</v>
      </c>
      <c r="G113" s="71">
        <f t="shared" si="27"/>
        <v>0.68800000000000006</v>
      </c>
      <c r="H113" s="65">
        <f t="shared" ca="1" si="20"/>
        <v>0.49940136775445082</v>
      </c>
    </row>
    <row r="114" spans="1:8" x14ac:dyDescent="0.25">
      <c r="A114" s="38">
        <f t="shared" si="29"/>
        <v>41387</v>
      </c>
      <c r="B114" s="40">
        <f t="shared" si="32"/>
        <v>0.61999999999999988</v>
      </c>
      <c r="C114" s="65">
        <f t="shared" ca="1" si="30"/>
        <v>0.52690347034771534</v>
      </c>
      <c r="D114" s="71">
        <f t="shared" si="31"/>
        <v>0.40340000000000004</v>
      </c>
      <c r="E114" s="65">
        <f t="shared" ca="1" si="19"/>
        <v>0.31092423533644004</v>
      </c>
      <c r="G114" s="71">
        <f t="shared" si="27"/>
        <v>0.68940000000000001</v>
      </c>
      <c r="H114" s="65">
        <f t="shared" ca="1" si="20"/>
        <v>0.66196984579333851</v>
      </c>
    </row>
    <row r="115" spans="1:8" x14ac:dyDescent="0.25">
      <c r="A115" s="38">
        <f t="shared" si="29"/>
        <v>41388</v>
      </c>
      <c r="B115" s="40">
        <f t="shared" si="32"/>
        <v>0.62199999999999989</v>
      </c>
      <c r="C115" s="65">
        <f t="shared" ca="1" si="30"/>
        <v>0.62128220020630309</v>
      </c>
      <c r="D115" s="71">
        <f t="shared" si="31"/>
        <v>0.35840000000000005</v>
      </c>
      <c r="E115" s="65">
        <f t="shared" ca="1" si="19"/>
        <v>0.21920680008581894</v>
      </c>
      <c r="G115" s="71">
        <f t="shared" si="27"/>
        <v>0.69079999999999997</v>
      </c>
      <c r="H115" s="65">
        <f t="shared" ca="1" si="20"/>
        <v>0.55297587974550177</v>
      </c>
    </row>
    <row r="116" spans="1:8" x14ac:dyDescent="0.25">
      <c r="A116" s="38">
        <f t="shared" si="29"/>
        <v>41389</v>
      </c>
      <c r="B116" s="40">
        <f t="shared" si="32"/>
        <v>0.62399999999999989</v>
      </c>
      <c r="C116" s="65">
        <f t="shared" ca="1" si="30"/>
        <v>0.61472156791098498</v>
      </c>
      <c r="D116" s="71">
        <f>D117-0.085</f>
        <v>0.31340000000000007</v>
      </c>
      <c r="E116" s="65">
        <f t="shared" ca="1" si="19"/>
        <v>0.17220806107462816</v>
      </c>
      <c r="G116" s="71">
        <f t="shared" si="27"/>
        <v>0.69219999999999993</v>
      </c>
      <c r="H116" s="65">
        <f t="shared" ca="1" si="20"/>
        <v>0.63884348344479092</v>
      </c>
    </row>
    <row r="117" spans="1:8" x14ac:dyDescent="0.25">
      <c r="A117" s="38">
        <f t="shared" si="29"/>
        <v>41390</v>
      </c>
      <c r="B117" s="40">
        <f t="shared" si="32"/>
        <v>0.62599999999999989</v>
      </c>
      <c r="C117" s="65">
        <f t="shared" ca="1" si="30"/>
        <v>0.53343230303454658</v>
      </c>
      <c r="D117" s="71">
        <f>D118-0.085</f>
        <v>0.39840000000000009</v>
      </c>
      <c r="E117" s="65">
        <f t="shared" ca="1" si="19"/>
        <v>0.20510728356597746</v>
      </c>
      <c r="G117" s="71">
        <f>G118-0.0014</f>
        <v>0.69359999999999988</v>
      </c>
      <c r="H117" s="65">
        <f t="shared" ca="1" si="20"/>
        <v>0.57492830655855465</v>
      </c>
    </row>
    <row r="118" spans="1:8" x14ac:dyDescent="0.25">
      <c r="A118" s="38">
        <f t="shared" si="29"/>
        <v>41391</v>
      </c>
      <c r="B118" s="40">
        <f t="shared" si="32"/>
        <v>0.62799999999999989</v>
      </c>
      <c r="C118" s="65">
        <f t="shared" ca="1" si="30"/>
        <v>0.6251854942076448</v>
      </c>
      <c r="D118" s="71">
        <f>D119-0.085</f>
        <v>0.48340000000000011</v>
      </c>
      <c r="E118" s="65">
        <f t="shared" ca="1" si="19"/>
        <v>0.32288842823375524</v>
      </c>
      <c r="G118" s="71">
        <f>G120+0.058</f>
        <v>0.69499999999999984</v>
      </c>
      <c r="H118" s="65">
        <f t="shared" ca="1" si="20"/>
        <v>0.52200819807692467</v>
      </c>
    </row>
    <row r="119" spans="1:8" x14ac:dyDescent="0.25">
      <c r="A119" s="38">
        <f t="shared" si="29"/>
        <v>41392</v>
      </c>
      <c r="B119" s="40">
        <f t="shared" si="32"/>
        <v>0.62999999999999989</v>
      </c>
      <c r="C119" s="65">
        <f t="shared" ca="1" si="30"/>
        <v>0.58657147112665187</v>
      </c>
      <c r="D119" s="71">
        <f>D120-0.085</f>
        <v>0.56840000000000013</v>
      </c>
      <c r="E119" s="65">
        <f t="shared" ca="1" si="19"/>
        <v>0.48808551614338808</v>
      </c>
      <c r="G119" s="71">
        <f t="shared" ref="G119:G127" si="33">G121+0.058</f>
        <v>0.58919999999999972</v>
      </c>
      <c r="H119" s="65">
        <f t="shared" ca="1" si="20"/>
        <v>0.47843244491202847</v>
      </c>
    </row>
    <row r="120" spans="1:8" x14ac:dyDescent="0.25">
      <c r="A120" s="38">
        <f t="shared" si="29"/>
        <v>41393</v>
      </c>
      <c r="B120" s="40">
        <f t="shared" si="32"/>
        <v>0.6319999999999999</v>
      </c>
      <c r="C120" s="65">
        <f t="shared" ca="1" si="30"/>
        <v>0.60620597117012953</v>
      </c>
      <c r="D120" s="71">
        <f>D121-0.085</f>
        <v>0.65340000000000009</v>
      </c>
      <c r="E120" s="65">
        <f t="shared" ca="1" si="19"/>
        <v>0.64035502484846307</v>
      </c>
      <c r="G120" s="71">
        <f t="shared" si="33"/>
        <v>0.63699999999999979</v>
      </c>
      <c r="H120" s="65">
        <f t="shared" ca="1" si="20"/>
        <v>0.44053149384191476</v>
      </c>
    </row>
    <row r="121" spans="1:8" x14ac:dyDescent="0.25">
      <c r="A121" s="38">
        <f t="shared" si="29"/>
        <v>41394</v>
      </c>
      <c r="B121" s="40">
        <f t="shared" si="32"/>
        <v>0.6339999999999999</v>
      </c>
      <c r="C121" s="65">
        <f t="shared" ca="1" si="30"/>
        <v>0.53983383653056327</v>
      </c>
      <c r="D121" s="71">
        <f>D122+0.0584</f>
        <v>0.73840000000000006</v>
      </c>
      <c r="E121" s="65">
        <f t="shared" ca="1" si="19"/>
        <v>0.69180844368626815</v>
      </c>
      <c r="G121" s="71">
        <f t="shared" si="33"/>
        <v>0.53119999999999967</v>
      </c>
      <c r="H121" s="65">
        <f t="shared" ca="1" si="20"/>
        <v>0.44485239615620781</v>
      </c>
    </row>
    <row r="122" spans="1:8" x14ac:dyDescent="0.25">
      <c r="A122" s="38">
        <f t="shared" si="29"/>
        <v>41395</v>
      </c>
      <c r="B122" s="40">
        <f t="shared" si="32"/>
        <v>0.6359999999999999</v>
      </c>
      <c r="C122" s="65">
        <f t="shared" ca="1" si="30"/>
        <v>0.56309804667064833</v>
      </c>
      <c r="D122" s="71">
        <f>D123+0.0584</f>
        <v>0.68</v>
      </c>
      <c r="E122" s="65">
        <f t="shared" ca="1" si="19"/>
        <v>0.619834988090461</v>
      </c>
      <c r="G122" s="71">
        <f t="shared" si="33"/>
        <v>0.57899999999999974</v>
      </c>
      <c r="H122" s="65">
        <f t="shared" ca="1" si="20"/>
        <v>0.50647924562569435</v>
      </c>
    </row>
    <row r="123" spans="1:8" x14ac:dyDescent="0.25">
      <c r="A123" s="38">
        <f t="shared" si="29"/>
        <v>41396</v>
      </c>
      <c r="B123" s="40">
        <f t="shared" si="32"/>
        <v>0.6379999999999999</v>
      </c>
      <c r="C123" s="65">
        <f t="shared" ca="1" si="30"/>
        <v>0.56771875169031794</v>
      </c>
      <c r="D123" s="71">
        <f>D124+0.0584</f>
        <v>0.62160000000000004</v>
      </c>
      <c r="E123" s="65">
        <f t="shared" ca="1" si="19"/>
        <v>0.47870989073108378</v>
      </c>
      <c r="G123" s="71">
        <f t="shared" si="33"/>
        <v>0.47319999999999968</v>
      </c>
      <c r="H123" s="65">
        <f t="shared" ca="1" si="20"/>
        <v>0.37870640078109225</v>
      </c>
    </row>
    <row r="124" spans="1:8" x14ac:dyDescent="0.25">
      <c r="A124" s="38">
        <f t="shared" si="29"/>
        <v>41397</v>
      </c>
      <c r="B124" s="40">
        <f t="shared" si="32"/>
        <v>0.6399999999999999</v>
      </c>
      <c r="C124" s="65">
        <f t="shared" ca="1" si="30"/>
        <v>0.58874697489971339</v>
      </c>
      <c r="D124" s="71">
        <f t="shared" ref="D124:D130" si="34">D125+0.009</f>
        <v>0.56320000000000003</v>
      </c>
      <c r="E124" s="65">
        <f t="shared" ca="1" si="19"/>
        <v>0.49899130599340041</v>
      </c>
      <c r="G124" s="71">
        <f t="shared" si="33"/>
        <v>0.52099999999999969</v>
      </c>
      <c r="H124" s="65">
        <f t="shared" ca="1" si="20"/>
        <v>0.44300391304114134</v>
      </c>
    </row>
    <row r="125" spans="1:8" x14ac:dyDescent="0.25">
      <c r="A125" s="38">
        <f t="shared" si="29"/>
        <v>41398</v>
      </c>
      <c r="B125" s="40">
        <f t="shared" si="32"/>
        <v>0.6419999999999999</v>
      </c>
      <c r="C125" s="65">
        <f t="shared" ca="1" si="30"/>
        <v>0.63031850206555295</v>
      </c>
      <c r="D125" s="71">
        <f t="shared" si="34"/>
        <v>0.55420000000000003</v>
      </c>
      <c r="E125" s="65">
        <f t="shared" ca="1" si="19"/>
        <v>0.41228354616776602</v>
      </c>
      <c r="G125" s="71">
        <f t="shared" si="33"/>
        <v>0.41519999999999968</v>
      </c>
      <c r="H125" s="65">
        <f t="shared" ca="1" si="20"/>
        <v>0.38096788146164179</v>
      </c>
    </row>
    <row r="126" spans="1:8" x14ac:dyDescent="0.25">
      <c r="A126" s="38">
        <f t="shared" si="29"/>
        <v>41399</v>
      </c>
      <c r="B126" s="40">
        <f t="shared" si="32"/>
        <v>0.64399999999999991</v>
      </c>
      <c r="C126" s="65">
        <f t="shared" ca="1" si="30"/>
        <v>0.57052082507859092</v>
      </c>
      <c r="D126" s="71">
        <f t="shared" si="34"/>
        <v>0.54520000000000002</v>
      </c>
      <c r="E126" s="65">
        <f t="shared" ca="1" si="19"/>
        <v>0.41397737998389655</v>
      </c>
      <c r="G126" s="71">
        <f t="shared" si="33"/>
        <v>0.46299999999999969</v>
      </c>
      <c r="H126" s="65">
        <f t="shared" ca="1" si="20"/>
        <v>0.37490290063711357</v>
      </c>
    </row>
    <row r="127" spans="1:8" x14ac:dyDescent="0.25">
      <c r="A127" s="38">
        <f t="shared" si="29"/>
        <v>41400</v>
      </c>
      <c r="B127" s="40">
        <f t="shared" si="32"/>
        <v>0.64599999999999991</v>
      </c>
      <c r="C127" s="65">
        <f t="shared" ca="1" si="30"/>
        <v>0.58879438037008103</v>
      </c>
      <c r="D127" s="71">
        <f t="shared" si="34"/>
        <v>0.53620000000000001</v>
      </c>
      <c r="E127" s="65">
        <f t="shared" ca="1" si="19"/>
        <v>0.48115518083498071</v>
      </c>
      <c r="G127" s="71">
        <f t="shared" si="33"/>
        <v>0.35719999999999968</v>
      </c>
      <c r="H127" s="65">
        <f t="shared" ca="1" si="20"/>
        <v>0.23850967697626274</v>
      </c>
    </row>
    <row r="128" spans="1:8" x14ac:dyDescent="0.25">
      <c r="A128" s="38">
        <f t="shared" si="29"/>
        <v>41401</v>
      </c>
      <c r="B128" s="40">
        <f t="shared" si="32"/>
        <v>0.64799999999999991</v>
      </c>
      <c r="C128" s="65">
        <f t="shared" ca="1" si="30"/>
        <v>0.59256871677837764</v>
      </c>
      <c r="D128" s="71">
        <f t="shared" si="34"/>
        <v>0.5272</v>
      </c>
      <c r="E128" s="65">
        <f t="shared" ca="1" si="19"/>
        <v>0.4081842071097363</v>
      </c>
      <c r="G128" s="71">
        <f>G130+0.058</f>
        <v>0.40499999999999969</v>
      </c>
      <c r="H128" s="65">
        <f t="shared" ca="1" si="20"/>
        <v>0.38475684804141069</v>
      </c>
    </row>
    <row r="129" spans="1:8" x14ac:dyDescent="0.25">
      <c r="A129" s="38">
        <f t="shared" si="29"/>
        <v>41402</v>
      </c>
      <c r="B129" s="40">
        <f t="shared" si="32"/>
        <v>0.64999999999999991</v>
      </c>
      <c r="C129" s="65">
        <f t="shared" ca="1" si="30"/>
        <v>0.56570084218249683</v>
      </c>
      <c r="D129" s="71">
        <f t="shared" si="34"/>
        <v>0.51819999999999999</v>
      </c>
      <c r="E129" s="65">
        <f t="shared" ca="1" si="19"/>
        <v>0.4545334081269124</v>
      </c>
      <c r="G129" s="71">
        <f>G131+0.058</f>
        <v>0.29919999999999969</v>
      </c>
      <c r="H129" s="65">
        <f t="shared" ca="1" si="20"/>
        <v>0.15080738680359557</v>
      </c>
    </row>
    <row r="130" spans="1:8" x14ac:dyDescent="0.25">
      <c r="A130" s="38">
        <f t="shared" si="29"/>
        <v>41403</v>
      </c>
      <c r="B130" s="40">
        <f t="shared" si="32"/>
        <v>0.65199999999999991</v>
      </c>
      <c r="C130" s="65">
        <f t="shared" ca="1" si="30"/>
        <v>0.58068785605251905</v>
      </c>
      <c r="D130" s="71">
        <f t="shared" si="34"/>
        <v>0.50919999999999999</v>
      </c>
      <c r="E130" s="65">
        <f t="shared" ca="1" si="19"/>
        <v>0.39910728901334885</v>
      </c>
      <c r="G130" s="71">
        <f>G132+0.058</f>
        <v>0.3469999999999997</v>
      </c>
      <c r="H130" s="65">
        <f t="shared" ca="1" si="20"/>
        <v>0.26644952901462909</v>
      </c>
    </row>
    <row r="131" spans="1:8" x14ac:dyDescent="0.25">
      <c r="A131" s="38">
        <f t="shared" si="29"/>
        <v>41404</v>
      </c>
      <c r="B131" s="40">
        <f t="shared" si="32"/>
        <v>0.65399999999999991</v>
      </c>
      <c r="C131" s="65">
        <f t="shared" ca="1" si="30"/>
        <v>0.63805362817834388</v>
      </c>
      <c r="D131" s="71">
        <f>D132+0.009</f>
        <v>0.50019999999999998</v>
      </c>
      <c r="E131" s="65">
        <f t="shared" ca="1" si="19"/>
        <v>0.37333229559448339</v>
      </c>
      <c r="G131" s="71">
        <f>G133+0.058</f>
        <v>0.24119999999999969</v>
      </c>
      <c r="H131" s="65">
        <f t="shared" ca="1" si="20"/>
        <v>0.13286488680641884</v>
      </c>
    </row>
    <row r="132" spans="1:8" x14ac:dyDescent="0.25">
      <c r="A132" s="38">
        <f t="shared" si="29"/>
        <v>41405</v>
      </c>
      <c r="B132" s="40">
        <f t="shared" si="32"/>
        <v>0.65599999999999992</v>
      </c>
      <c r="C132" s="65">
        <f t="shared" ca="1" si="30"/>
        <v>0.61053756378450819</v>
      </c>
      <c r="D132" s="71">
        <f>D133+0.034</f>
        <v>0.49119999999999997</v>
      </c>
      <c r="E132" s="65">
        <f t="shared" ca="1" si="19"/>
        <v>0.33999205091197943</v>
      </c>
      <c r="G132" s="71">
        <f>G134+0.058</f>
        <v>0.2889999999999997</v>
      </c>
      <c r="H132" s="65">
        <f t="shared" ca="1" si="20"/>
        <v>0.17683556245477466</v>
      </c>
    </row>
    <row r="133" spans="1:8" x14ac:dyDescent="0.25">
      <c r="A133" s="38">
        <f t="shared" ref="A133:A155" si="35">A132+1</f>
        <v>41406</v>
      </c>
      <c r="B133" s="40">
        <f t="shared" si="32"/>
        <v>0.65799999999999992</v>
      </c>
      <c r="C133" s="65">
        <f t="shared" ref="C133:C155" ca="1" si="36">RAND()*0.1+B133-0.1</f>
        <v>0.5646304603222867</v>
      </c>
      <c r="D133" s="71">
        <f>D134+0.034</f>
        <v>0.45719999999999994</v>
      </c>
      <c r="E133" s="65">
        <f t="shared" ref="E133:E155" ca="1" si="37">RAND()*0.2+D133-0.2</f>
        <v>0.4373127875179374</v>
      </c>
      <c r="G133" s="71">
        <f t="shared" ref="G133:G138" si="38">G134-0.0478</f>
        <v>0.1831999999999997</v>
      </c>
      <c r="H133" s="65">
        <f>0.23</f>
        <v>0.23</v>
      </c>
    </row>
    <row r="134" spans="1:8" x14ac:dyDescent="0.25">
      <c r="A134" s="38">
        <f t="shared" si="35"/>
        <v>41407</v>
      </c>
      <c r="B134" s="40">
        <f t="shared" si="32"/>
        <v>0.65999999999999992</v>
      </c>
      <c r="C134" s="65">
        <f t="shared" ca="1" si="36"/>
        <v>0.63207092760724515</v>
      </c>
      <c r="D134" s="71">
        <f>D135+0.034</f>
        <v>0.42319999999999991</v>
      </c>
      <c r="E134" s="65">
        <f t="shared" ca="1" si="37"/>
        <v>0.32832882758018161</v>
      </c>
      <c r="G134" s="71">
        <f t="shared" si="38"/>
        <v>0.23099999999999971</v>
      </c>
      <c r="H134" s="65">
        <v>0.34</v>
      </c>
    </row>
    <row r="135" spans="1:8" x14ac:dyDescent="0.25">
      <c r="A135" s="38">
        <f t="shared" si="35"/>
        <v>41408</v>
      </c>
      <c r="B135" s="40">
        <f t="shared" si="32"/>
        <v>0.66199999999999992</v>
      </c>
      <c r="C135" s="65">
        <f t="shared" ca="1" si="36"/>
        <v>0.65745554567037556</v>
      </c>
      <c r="D135" s="71">
        <f>D136+0.034</f>
        <v>0.38919999999999988</v>
      </c>
      <c r="E135" s="65">
        <f t="shared" ca="1" si="37"/>
        <v>0.27864862063881729</v>
      </c>
      <c r="G135" s="71">
        <f t="shared" si="38"/>
        <v>0.27879999999999971</v>
      </c>
      <c r="H135" s="65">
        <f t="shared" ref="H135:H155" ca="1" si="39">RAND()*0.2+G135-0.2</f>
        <v>9.2692121170456054E-2</v>
      </c>
    </row>
    <row r="136" spans="1:8" x14ac:dyDescent="0.25">
      <c r="A136" s="38">
        <f t="shared" si="35"/>
        <v>41409</v>
      </c>
      <c r="B136" s="40">
        <f t="shared" si="32"/>
        <v>0.66399999999999992</v>
      </c>
      <c r="C136" s="65">
        <f t="shared" ca="1" si="36"/>
        <v>0.64161043817245722</v>
      </c>
      <c r="D136" s="71">
        <f>D137+0.034</f>
        <v>0.35519999999999985</v>
      </c>
      <c r="E136" s="65">
        <f t="shared" ca="1" si="37"/>
        <v>0.2307693926514956</v>
      </c>
      <c r="G136" s="71">
        <f t="shared" si="38"/>
        <v>0.32659999999999972</v>
      </c>
      <c r="H136" s="65">
        <f t="shared" ca="1" si="39"/>
        <v>0.28621655688658348</v>
      </c>
    </row>
    <row r="137" spans="1:8" x14ac:dyDescent="0.25">
      <c r="A137" s="38">
        <f t="shared" si="35"/>
        <v>41410</v>
      </c>
      <c r="B137" s="40">
        <f t="shared" ref="B137:B154" si="40">B138-0.003</f>
        <v>0.66599999999999993</v>
      </c>
      <c r="C137" s="65">
        <f t="shared" ca="1" si="36"/>
        <v>0.65339377318397485</v>
      </c>
      <c r="D137" s="71">
        <f>D138-0.025</f>
        <v>0.32119999999999982</v>
      </c>
      <c r="E137" s="65">
        <f t="shared" ca="1" si="37"/>
        <v>0.17056992635815377</v>
      </c>
      <c r="G137" s="71">
        <f t="shared" si="38"/>
        <v>0.37439999999999973</v>
      </c>
      <c r="H137" s="65">
        <f t="shared" ca="1" si="39"/>
        <v>0.19464637878656504</v>
      </c>
    </row>
    <row r="138" spans="1:8" x14ac:dyDescent="0.25">
      <c r="A138" s="38">
        <f t="shared" si="35"/>
        <v>41411</v>
      </c>
      <c r="B138" s="40">
        <f t="shared" si="40"/>
        <v>0.66899999999999993</v>
      </c>
      <c r="C138" s="65">
        <f t="shared" ca="1" si="36"/>
        <v>0.58482603577113912</v>
      </c>
      <c r="D138" s="71">
        <f>D139-0.025</f>
        <v>0.34619999999999984</v>
      </c>
      <c r="E138" s="65">
        <f t="shared" ca="1" si="37"/>
        <v>0.31022798586950978</v>
      </c>
      <c r="G138" s="71">
        <f t="shared" si="38"/>
        <v>0.42219999999999974</v>
      </c>
      <c r="H138" s="65">
        <f t="shared" ca="1" si="39"/>
        <v>0.32567297610387419</v>
      </c>
    </row>
    <row r="139" spans="1:8" x14ac:dyDescent="0.25">
      <c r="A139" s="38">
        <f t="shared" si="35"/>
        <v>41412</v>
      </c>
      <c r="B139" s="40">
        <f t="shared" si="40"/>
        <v>0.67199999999999993</v>
      </c>
      <c r="C139" s="65">
        <f t="shared" ca="1" si="36"/>
        <v>0.6565406830151711</v>
      </c>
      <c r="D139" s="71">
        <f>D140-0.025</f>
        <v>0.37119999999999986</v>
      </c>
      <c r="E139" s="65">
        <f t="shared" ca="1" si="37"/>
        <v>0.21598515914837002</v>
      </c>
      <c r="G139" s="71">
        <f t="shared" ref="G139:G153" si="41">G140-0.02</f>
        <v>0.46999999999999975</v>
      </c>
      <c r="H139" s="65">
        <f t="shared" ca="1" si="39"/>
        <v>0.36971077854411077</v>
      </c>
    </row>
    <row r="140" spans="1:8" x14ac:dyDescent="0.25">
      <c r="A140" s="38">
        <f t="shared" si="35"/>
        <v>41413</v>
      </c>
      <c r="B140" s="40">
        <f t="shared" si="40"/>
        <v>0.67499999999999993</v>
      </c>
      <c r="C140" s="65">
        <f t="shared" ca="1" si="36"/>
        <v>0.63663935800559235</v>
      </c>
      <c r="D140" s="71">
        <f>D141-0.025</f>
        <v>0.39619999999999989</v>
      </c>
      <c r="E140" s="65">
        <f t="shared" ca="1" si="37"/>
        <v>0.30419262164009503</v>
      </c>
      <c r="G140" s="71">
        <f t="shared" si="41"/>
        <v>0.48999999999999977</v>
      </c>
      <c r="H140" s="65">
        <f t="shared" ca="1" si="39"/>
        <v>0.3630473328927572</v>
      </c>
    </row>
    <row r="141" spans="1:8" x14ac:dyDescent="0.25">
      <c r="A141" s="38">
        <f t="shared" si="35"/>
        <v>41414</v>
      </c>
      <c r="B141" s="40">
        <f t="shared" si="40"/>
        <v>0.67799999999999994</v>
      </c>
      <c r="C141" s="65">
        <f t="shared" ca="1" si="36"/>
        <v>0.60585307895335549</v>
      </c>
      <c r="D141" s="71">
        <f>D142-0.025</f>
        <v>0.42119999999999991</v>
      </c>
      <c r="E141" s="65">
        <f t="shared" ca="1" si="37"/>
        <v>0.27836312950180836</v>
      </c>
      <c r="G141" s="71">
        <f t="shared" si="41"/>
        <v>0.50999999999999979</v>
      </c>
      <c r="H141" s="65">
        <f t="shared" ca="1" si="39"/>
        <v>0.35476186334978072</v>
      </c>
    </row>
    <row r="142" spans="1:8" x14ac:dyDescent="0.25">
      <c r="A142" s="38">
        <f t="shared" si="35"/>
        <v>41415</v>
      </c>
      <c r="B142" s="40">
        <f t="shared" si="40"/>
        <v>0.68099999999999994</v>
      </c>
      <c r="C142" s="65">
        <f t="shared" ca="1" si="36"/>
        <v>0.6641263144066748</v>
      </c>
      <c r="D142" s="71">
        <f>D143-0.031</f>
        <v>0.44619999999999993</v>
      </c>
      <c r="E142" s="65">
        <f t="shared" ca="1" si="37"/>
        <v>0.42737269638348691</v>
      </c>
      <c r="G142" s="71">
        <f t="shared" si="41"/>
        <v>0.5299999999999998</v>
      </c>
      <c r="H142" s="65">
        <f t="shared" ca="1" si="39"/>
        <v>0.39829362856476497</v>
      </c>
    </row>
    <row r="143" spans="1:8" x14ac:dyDescent="0.25">
      <c r="A143" s="38">
        <f t="shared" si="35"/>
        <v>41416</v>
      </c>
      <c r="B143" s="40">
        <f t="shared" si="40"/>
        <v>0.68399999999999994</v>
      </c>
      <c r="C143" s="65">
        <f t="shared" ca="1" si="36"/>
        <v>0.64342782952840338</v>
      </c>
      <c r="D143" s="71">
        <f>D144-0.031</f>
        <v>0.47719999999999996</v>
      </c>
      <c r="E143" s="65">
        <f t="shared" ca="1" si="37"/>
        <v>0.47222164390494531</v>
      </c>
      <c r="G143" s="71">
        <f t="shared" si="41"/>
        <v>0.54999999999999982</v>
      </c>
      <c r="H143" s="65">
        <f t="shared" ca="1" si="39"/>
        <v>0.42771641904607288</v>
      </c>
    </row>
    <row r="144" spans="1:8" x14ac:dyDescent="0.25">
      <c r="A144" s="38">
        <f t="shared" si="35"/>
        <v>41417</v>
      </c>
      <c r="B144" s="40">
        <f t="shared" si="40"/>
        <v>0.68699999999999994</v>
      </c>
      <c r="C144" s="65">
        <f t="shared" ca="1" si="36"/>
        <v>0.5873062804450887</v>
      </c>
      <c r="D144" s="71">
        <f>D145-0.031</f>
        <v>0.50819999999999999</v>
      </c>
      <c r="E144" s="65">
        <f t="shared" ca="1" si="37"/>
        <v>0.49196948803983848</v>
      </c>
      <c r="G144" s="71">
        <f t="shared" si="41"/>
        <v>0.56999999999999984</v>
      </c>
      <c r="H144" s="65">
        <f t="shared" ca="1" si="39"/>
        <v>0.46870989943173186</v>
      </c>
    </row>
    <row r="145" spans="1:8" x14ac:dyDescent="0.25">
      <c r="A145" s="38">
        <f t="shared" si="35"/>
        <v>41418</v>
      </c>
      <c r="B145" s="40">
        <f t="shared" si="40"/>
        <v>0.69</v>
      </c>
      <c r="C145" s="65">
        <f t="shared" ca="1" si="36"/>
        <v>0.61178566182555727</v>
      </c>
      <c r="D145" s="71">
        <f>D146-0.031</f>
        <v>0.53920000000000001</v>
      </c>
      <c r="E145" s="65">
        <f t="shared" ca="1" si="37"/>
        <v>0.43440720546266814</v>
      </c>
      <c r="G145" s="71">
        <f t="shared" si="41"/>
        <v>0.58999999999999986</v>
      </c>
      <c r="H145" s="65">
        <f t="shared" ca="1" si="39"/>
        <v>0.44208302086911028</v>
      </c>
    </row>
    <row r="146" spans="1:8" x14ac:dyDescent="0.25">
      <c r="A146" s="38">
        <f t="shared" si="35"/>
        <v>41419</v>
      </c>
      <c r="B146" s="40">
        <f t="shared" si="40"/>
        <v>0.69299999999999995</v>
      </c>
      <c r="C146" s="65">
        <f t="shared" ca="1" si="36"/>
        <v>0.67320230637964662</v>
      </c>
      <c r="D146" s="71">
        <f>D147-0.031</f>
        <v>0.57020000000000004</v>
      </c>
      <c r="E146" s="65">
        <f t="shared" ca="1" si="37"/>
        <v>0.51093706187122123</v>
      </c>
      <c r="G146" s="71">
        <f t="shared" si="41"/>
        <v>0.60999999999999988</v>
      </c>
      <c r="H146" s="65">
        <f t="shared" ca="1" si="39"/>
        <v>0.49306088825552313</v>
      </c>
    </row>
    <row r="147" spans="1:8" x14ac:dyDescent="0.25">
      <c r="A147" s="38">
        <f t="shared" si="35"/>
        <v>41420</v>
      </c>
      <c r="B147" s="40">
        <f t="shared" si="40"/>
        <v>0.69599999999999995</v>
      </c>
      <c r="C147" s="65">
        <f t="shared" ca="1" si="36"/>
        <v>0.67869837269435329</v>
      </c>
      <c r="D147" s="71">
        <f>D148-0.0012</f>
        <v>0.60120000000000007</v>
      </c>
      <c r="E147" s="65">
        <f t="shared" ca="1" si="37"/>
        <v>0.51835865631621281</v>
      </c>
      <c r="G147" s="71">
        <f t="shared" si="41"/>
        <v>0.62999999999999989</v>
      </c>
      <c r="H147" s="65">
        <f t="shared" ca="1" si="39"/>
        <v>0.59818659287557963</v>
      </c>
    </row>
    <row r="148" spans="1:8" x14ac:dyDescent="0.25">
      <c r="A148" s="38">
        <f t="shared" si="35"/>
        <v>41421</v>
      </c>
      <c r="B148" s="40">
        <f t="shared" si="40"/>
        <v>0.69899999999999995</v>
      </c>
      <c r="C148" s="65">
        <f t="shared" ca="1" si="36"/>
        <v>0.61529583126277598</v>
      </c>
      <c r="D148" s="71">
        <f>D149-0.0012</f>
        <v>0.60240000000000005</v>
      </c>
      <c r="E148" s="65">
        <f t="shared" ca="1" si="37"/>
        <v>0.5580110185114826</v>
      </c>
      <c r="G148" s="71">
        <f t="shared" si="41"/>
        <v>0.64999999999999991</v>
      </c>
      <c r="H148" s="65">
        <f t="shared" ca="1" si="39"/>
        <v>0.48064318570827452</v>
      </c>
    </row>
    <row r="149" spans="1:8" x14ac:dyDescent="0.25">
      <c r="A149" s="38">
        <f t="shared" si="35"/>
        <v>41422</v>
      </c>
      <c r="B149" s="40">
        <f t="shared" si="40"/>
        <v>0.70199999999999996</v>
      </c>
      <c r="C149" s="65">
        <f t="shared" ca="1" si="36"/>
        <v>0.66528647654645112</v>
      </c>
      <c r="D149" s="71">
        <f>D150-0.0012</f>
        <v>0.60360000000000003</v>
      </c>
      <c r="E149" s="65">
        <f t="shared" ca="1" si="37"/>
        <v>0.58586189969282665</v>
      </c>
      <c r="G149" s="71">
        <f t="shared" si="41"/>
        <v>0.66999999999999993</v>
      </c>
      <c r="H149" s="65">
        <f t="shared" ca="1" si="39"/>
        <v>0.59763606353644061</v>
      </c>
    </row>
    <row r="150" spans="1:8" x14ac:dyDescent="0.25">
      <c r="A150" s="38">
        <f t="shared" si="35"/>
        <v>41423</v>
      </c>
      <c r="B150" s="40">
        <f t="shared" si="40"/>
        <v>0.70499999999999996</v>
      </c>
      <c r="C150" s="65">
        <f t="shared" ca="1" si="36"/>
        <v>0.63461409078441522</v>
      </c>
      <c r="D150" s="71">
        <f>D151-0.0012</f>
        <v>0.6048</v>
      </c>
      <c r="E150" s="65">
        <f t="shared" ca="1" si="37"/>
        <v>0.45057590975793088</v>
      </c>
      <c r="G150" s="71">
        <f t="shared" si="41"/>
        <v>0.69</v>
      </c>
      <c r="H150" s="65">
        <f t="shared" ca="1" si="39"/>
        <v>0.57719661715680992</v>
      </c>
    </row>
    <row r="151" spans="1:8" x14ac:dyDescent="0.25">
      <c r="A151" s="38">
        <f t="shared" si="35"/>
        <v>41424</v>
      </c>
      <c r="B151" s="40">
        <f t="shared" si="40"/>
        <v>0.70799999999999996</v>
      </c>
      <c r="C151" s="65">
        <f t="shared" ca="1" si="36"/>
        <v>0.69349637403933573</v>
      </c>
      <c r="D151" s="71">
        <f>D152-0.012</f>
        <v>0.60599999999999998</v>
      </c>
      <c r="E151" s="65">
        <f t="shared" ca="1" si="37"/>
        <v>0.5981295027608613</v>
      </c>
      <c r="G151" s="71">
        <f t="shared" si="41"/>
        <v>0.71</v>
      </c>
      <c r="H151" s="65">
        <f t="shared" ca="1" si="39"/>
        <v>0.60449275930372881</v>
      </c>
    </row>
    <row r="152" spans="1:8" x14ac:dyDescent="0.25">
      <c r="A152" s="38">
        <f t="shared" si="35"/>
        <v>41425</v>
      </c>
      <c r="B152" s="40">
        <f t="shared" si="40"/>
        <v>0.71099999999999997</v>
      </c>
      <c r="C152" s="65">
        <f t="shared" ca="1" si="36"/>
        <v>0.66967289091326143</v>
      </c>
      <c r="D152" s="71">
        <f>D153-0.012</f>
        <v>0.61799999999999999</v>
      </c>
      <c r="E152" s="65">
        <f t="shared" ca="1" si="37"/>
        <v>0.55439479503672828</v>
      </c>
      <c r="G152" s="71">
        <f t="shared" si="41"/>
        <v>0.73</v>
      </c>
      <c r="H152" s="65">
        <f t="shared" ca="1" si="39"/>
        <v>0.55602223190588473</v>
      </c>
    </row>
    <row r="153" spans="1:8" x14ac:dyDescent="0.25">
      <c r="A153" s="38">
        <f t="shared" si="35"/>
        <v>41426</v>
      </c>
      <c r="B153" s="40">
        <f t="shared" si="40"/>
        <v>0.71399999999999997</v>
      </c>
      <c r="C153" s="65">
        <f t="shared" ca="1" si="36"/>
        <v>0.62280732736994826</v>
      </c>
      <c r="D153" s="71">
        <f>D154-0.01</f>
        <v>0.63</v>
      </c>
      <c r="E153" s="65">
        <f t="shared" ca="1" si="37"/>
        <v>0.6268255123850639</v>
      </c>
      <c r="G153" s="71">
        <f t="shared" si="41"/>
        <v>0.75</v>
      </c>
      <c r="H153" s="65">
        <f t="shared" ca="1" si="39"/>
        <v>0.67699560237028344</v>
      </c>
    </row>
    <row r="154" spans="1:8" x14ac:dyDescent="0.25">
      <c r="A154" s="38">
        <f t="shared" si="35"/>
        <v>41427</v>
      </c>
      <c r="B154" s="40">
        <f t="shared" si="40"/>
        <v>0.71699999999999997</v>
      </c>
      <c r="C154" s="65">
        <f t="shared" ca="1" si="36"/>
        <v>0.70391141214009212</v>
      </c>
      <c r="D154" s="71">
        <f>D155-0.01</f>
        <v>0.64</v>
      </c>
      <c r="E154" s="65">
        <f t="shared" ca="1" si="37"/>
        <v>0.6321748177949793</v>
      </c>
      <c r="G154" s="71">
        <f>G155-0.02</f>
        <v>0.77</v>
      </c>
      <c r="H154" s="65">
        <f t="shared" ca="1" si="39"/>
        <v>0.72134568046977177</v>
      </c>
    </row>
    <row r="155" spans="1:8" x14ac:dyDescent="0.25">
      <c r="A155" s="38">
        <f t="shared" si="35"/>
        <v>41428</v>
      </c>
      <c r="B155" s="40">
        <f>'Daily - CNC-01 '!E7</f>
        <v>0.72</v>
      </c>
      <c r="C155" s="65">
        <f t="shared" ca="1" si="36"/>
        <v>0.67569401876077084</v>
      </c>
      <c r="D155" s="71">
        <v>0.65</v>
      </c>
      <c r="E155" s="65">
        <f t="shared" ca="1" si="37"/>
        <v>0.58878164362972596</v>
      </c>
      <c r="G155" s="71">
        <v>0.79</v>
      </c>
      <c r="H155" s="65">
        <f t="shared" ca="1" si="39"/>
        <v>0.66261603976570016</v>
      </c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1"/>
  <sheetViews>
    <sheetView zoomScaleNormal="100" zoomScalePageLayoutView="115" workbookViewId="0">
      <selection activeCell="K9" sqref="K9"/>
    </sheetView>
  </sheetViews>
  <sheetFormatPr defaultRowHeight="15" x14ac:dyDescent="0.25"/>
  <cols>
    <col min="1" max="1" width="10.85546875" customWidth="1"/>
    <col min="2" max="2" width="1.140625" customWidth="1"/>
    <col min="3" max="3" width="18.7109375" customWidth="1"/>
    <col min="4" max="4" width="1.140625" customWidth="1"/>
    <col min="5" max="5" width="18.7109375" customWidth="1"/>
    <col min="6" max="6" width="1.140625" customWidth="1"/>
    <col min="7" max="7" width="18.7109375" customWidth="1"/>
    <col min="8" max="8" width="1.140625" customWidth="1"/>
    <col min="9" max="9" width="18.7109375" customWidth="1"/>
  </cols>
  <sheetData>
    <row r="1" spans="1:9" ht="103.5" customHeight="1" x14ac:dyDescent="0.25"/>
    <row r="2" spans="1:9" ht="28.5" x14ac:dyDescent="0.45">
      <c r="A2" s="251" t="s">
        <v>24</v>
      </c>
      <c r="B2" s="251"/>
      <c r="C2" s="251"/>
      <c r="D2" s="136"/>
      <c r="E2" s="252"/>
      <c r="F2" s="252"/>
      <c r="G2" s="151"/>
      <c r="H2" s="152"/>
      <c r="I2" s="152" t="s">
        <v>65</v>
      </c>
    </row>
    <row r="3" spans="1:9" ht="28.5" x14ac:dyDescent="0.45">
      <c r="A3" s="153" t="s">
        <v>44</v>
      </c>
      <c r="B3" s="154"/>
      <c r="C3" s="154"/>
      <c r="D3" s="155"/>
      <c r="E3" s="156"/>
      <c r="F3" s="156"/>
      <c r="G3" s="253">
        <v>41428</v>
      </c>
      <c r="H3" s="253"/>
      <c r="I3" s="253"/>
    </row>
    <row r="5" spans="1:9" ht="5.25" customHeight="1" x14ac:dyDescent="0.25">
      <c r="A5" s="66"/>
    </row>
    <row r="6" spans="1:9" ht="5.25" customHeight="1" thickBot="1" x14ac:dyDescent="0.3"/>
    <row r="7" spans="1:9" ht="16.5" thickTop="1" thickBot="1" x14ac:dyDescent="0.3">
      <c r="A7" s="43" t="s">
        <v>31</v>
      </c>
      <c r="B7" s="170"/>
      <c r="C7" s="43" t="s">
        <v>33</v>
      </c>
      <c r="D7" s="171"/>
      <c r="E7" s="43" t="s">
        <v>34</v>
      </c>
      <c r="F7" s="171"/>
      <c r="G7" s="43" t="s">
        <v>35</v>
      </c>
      <c r="H7" s="171"/>
      <c r="I7" s="43" t="s">
        <v>32</v>
      </c>
    </row>
    <row r="8" spans="1:9" ht="16.5" thickTop="1" thickBot="1" x14ac:dyDescent="0.3">
      <c r="A8" s="164"/>
      <c r="B8" s="165"/>
      <c r="C8" s="166"/>
      <c r="D8" s="169"/>
      <c r="E8" s="166"/>
      <c r="F8" s="169"/>
      <c r="G8" s="166"/>
      <c r="H8" s="169"/>
      <c r="I8" s="167"/>
    </row>
    <row r="9" spans="1:9" ht="15.75" thickTop="1" x14ac:dyDescent="0.25">
      <c r="A9" s="157" t="s">
        <v>49</v>
      </c>
      <c r="B9" s="137"/>
      <c r="C9" s="163">
        <f>'Daily - CNC-01 '!A16/'Daily - CNC-01 '!A17</f>
        <v>0.73666666666666669</v>
      </c>
      <c r="D9" s="168"/>
      <c r="E9" s="162">
        <v>0.89</v>
      </c>
      <c r="F9" s="169"/>
      <c r="G9" s="161">
        <v>0.93</v>
      </c>
      <c r="H9" s="168">
        <v>1</v>
      </c>
      <c r="I9" s="160">
        <f>G9*E9*C9</f>
        <v>0.60973900000000014</v>
      </c>
    </row>
    <row r="10" spans="1:9" x14ac:dyDescent="0.25">
      <c r="A10" s="158" t="s">
        <v>52</v>
      </c>
      <c r="B10" s="137"/>
      <c r="C10" s="163">
        <f>'Daily - CNC-02'!A16/'Daily - CNC-02'!A17</f>
        <v>0.73666666666666669</v>
      </c>
      <c r="D10" s="168"/>
      <c r="E10" s="162">
        <v>0.83</v>
      </c>
      <c r="F10" s="169"/>
      <c r="G10" s="161">
        <v>0.74</v>
      </c>
      <c r="H10" s="168"/>
      <c r="I10" s="160">
        <f>G10*E10*C10</f>
        <v>0.45246066666666668</v>
      </c>
    </row>
    <row r="11" spans="1:9" x14ac:dyDescent="0.25">
      <c r="A11" s="158" t="s">
        <v>53</v>
      </c>
      <c r="B11" s="137"/>
      <c r="C11" s="163">
        <f>'Daily - CNC-03'!A16/'Daily - CNC-03'!A17</f>
        <v>0.73666666666666669</v>
      </c>
      <c r="D11" s="168"/>
      <c r="E11" s="162">
        <v>0.74</v>
      </c>
      <c r="F11" s="169"/>
      <c r="G11" s="161">
        <v>0.68</v>
      </c>
      <c r="H11" s="168"/>
      <c r="I11" s="160">
        <f>G11*E11*C11</f>
        <v>0.37069066666666667</v>
      </c>
    </row>
    <row r="12" spans="1:9" x14ac:dyDescent="0.25">
      <c r="A12" s="158" t="s">
        <v>63</v>
      </c>
      <c r="B12" s="137"/>
      <c r="C12" s="163">
        <f>'Daily - HCN'!A15/'Daily - HCN'!A16</f>
        <v>0.67541666666666667</v>
      </c>
      <c r="D12" s="168"/>
      <c r="E12" s="162">
        <v>0.91</v>
      </c>
      <c r="F12" s="169"/>
      <c r="G12" s="161">
        <v>0.73</v>
      </c>
      <c r="H12" s="168"/>
      <c r="I12" s="160">
        <f>G12*E12*C12</f>
        <v>0.44867929166666665</v>
      </c>
    </row>
    <row r="13" spans="1:9" ht="15.75" thickBot="1" x14ac:dyDescent="0.3">
      <c r="A13" s="159" t="s">
        <v>64</v>
      </c>
      <c r="B13" s="137"/>
      <c r="C13" s="163">
        <f>'Daily - NCT'!A15/'Daily - NCT'!A16</f>
        <v>0.62601851851851853</v>
      </c>
      <c r="D13" s="168"/>
      <c r="E13" s="162">
        <v>0.97</v>
      </c>
      <c r="F13" s="169"/>
      <c r="G13" s="161">
        <v>0.88</v>
      </c>
      <c r="H13" s="168"/>
      <c r="I13" s="160">
        <f>G13*E13*C13</f>
        <v>0.53436940740740746</v>
      </c>
    </row>
    <row r="14" spans="1:9" ht="15.75" thickTop="1" x14ac:dyDescent="0.25"/>
    <row r="18" spans="1:4" x14ac:dyDescent="0.25">
      <c r="A18" s="66"/>
    </row>
    <row r="19" spans="1:4" x14ac:dyDescent="0.25">
      <c r="D19" s="72"/>
    </row>
    <row r="22" spans="1:4" x14ac:dyDescent="0.25">
      <c r="C22" s="84"/>
    </row>
    <row r="23" spans="1:4" x14ac:dyDescent="0.25">
      <c r="D23" s="84"/>
    </row>
    <row r="24" spans="1:4" x14ac:dyDescent="0.25">
      <c r="C24" s="84"/>
    </row>
    <row r="31" spans="1:4" x14ac:dyDescent="0.25">
      <c r="A31" s="66"/>
    </row>
  </sheetData>
  <mergeCells count="3">
    <mergeCell ref="A2:C2"/>
    <mergeCell ref="E2:F2"/>
    <mergeCell ref="G3:I3"/>
  </mergeCells>
  <conditionalFormatting sqref="C9:C1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{FA429186-652C-46C4-9332-1C9F966AD4D6}</x14:id>
        </ext>
      </extLst>
    </cfRule>
  </conditionalFormatting>
  <conditionalFormatting sqref="E9:E13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{CB24D95E-8E3A-4EF2-A8D7-39F6BD84B307}</x14:id>
        </ext>
      </extLst>
    </cfRule>
  </conditionalFormatting>
  <conditionalFormatting sqref="G9:G1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{760401FD-03F3-4ED2-B840-E584679F51B8}</x14:id>
        </ext>
      </extLst>
    </cfRule>
  </conditionalFormatting>
  <conditionalFormatting sqref="I9:I1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{B71C8098-B788-450A-A2EB-5EF43BEB27B4}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429186-652C-46C4-9332-1C9F966AD4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C9:C13</xm:sqref>
        </x14:conditionalFormatting>
        <x14:conditionalFormatting xmlns:xm="http://schemas.microsoft.com/office/excel/2006/main">
          <x14:cfRule type="dataBar" id="{CB24D95E-8E3A-4EF2-A8D7-39F6BD84B3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E9:E13</xm:sqref>
        </x14:conditionalFormatting>
        <x14:conditionalFormatting xmlns:xm="http://schemas.microsoft.com/office/excel/2006/main">
          <x14:cfRule type="dataBar" id="{760401FD-03F3-4ED2-B840-E584679F51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G9:G13</xm:sqref>
        </x14:conditionalFormatting>
        <x14:conditionalFormatting xmlns:xm="http://schemas.microsoft.com/office/excel/2006/main">
          <x14:cfRule type="dataBar" id="{B71C8098-B788-450A-A2EB-5EF43BEB27B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I9:I13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56"/>
  <sheetViews>
    <sheetView view="pageLayout" zoomScaleNormal="100" workbookViewId="0">
      <selection activeCell="K43" sqref="K43"/>
    </sheetView>
  </sheetViews>
  <sheetFormatPr defaultRowHeight="15" x14ac:dyDescent="0.25"/>
  <cols>
    <col min="1" max="1" width="13.5703125" customWidth="1"/>
    <col min="2" max="2" width="1.7109375" customWidth="1"/>
    <col min="3" max="3" width="14.7109375" customWidth="1"/>
    <col min="4" max="4" width="1.140625" customWidth="1"/>
    <col min="5" max="5" width="13.85546875" customWidth="1"/>
    <col min="6" max="6" width="1.28515625" customWidth="1"/>
    <col min="7" max="7" width="17.7109375" customWidth="1"/>
    <col min="8" max="8" width="12.28515625" hidden="1" customWidth="1"/>
    <col min="9" max="9" width="24.5703125" hidden="1" customWidth="1"/>
    <col min="10" max="10" width="18.28515625" customWidth="1"/>
    <col min="11" max="11" width="12.5703125" customWidth="1"/>
    <col min="12" max="12" width="9.140625" hidden="1" customWidth="1"/>
    <col min="13" max="13" width="14.42578125" customWidth="1"/>
  </cols>
  <sheetData>
    <row r="1" spans="1:10" ht="28.5" x14ac:dyDescent="0.45">
      <c r="A1" s="254" t="s">
        <v>24</v>
      </c>
      <c r="B1" s="233"/>
      <c r="C1" s="255"/>
      <c r="D1" s="58"/>
      <c r="E1" s="233" t="s">
        <v>9</v>
      </c>
      <c r="F1" s="233"/>
      <c r="G1" s="256"/>
      <c r="H1" s="82"/>
      <c r="I1" s="83"/>
      <c r="J1" s="100">
        <v>41427</v>
      </c>
    </row>
    <row r="2" spans="1:10" ht="28.5" x14ac:dyDescent="0.45">
      <c r="A2" s="67" t="s">
        <v>49</v>
      </c>
      <c r="B2" s="56" t="s">
        <v>37</v>
      </c>
      <c r="C2" s="57"/>
      <c r="D2" s="68"/>
      <c r="E2" s="257"/>
      <c r="F2" s="257"/>
      <c r="G2" s="258"/>
      <c r="H2" s="68"/>
      <c r="I2" s="70"/>
      <c r="J2" s="88"/>
    </row>
    <row r="4" spans="1:10" ht="15.75" thickBot="1" x14ac:dyDescent="0.3">
      <c r="A4" s="98" t="s">
        <v>46</v>
      </c>
    </row>
    <row r="5" spans="1:10" ht="16.5" thickTop="1" thickBot="1" x14ac:dyDescent="0.3">
      <c r="A5" s="43" t="s">
        <v>31</v>
      </c>
      <c r="C5" s="43" t="s">
        <v>33</v>
      </c>
      <c r="E5" s="80" t="s">
        <v>32</v>
      </c>
      <c r="G5" s="89" t="s">
        <v>43</v>
      </c>
      <c r="H5" s="89"/>
      <c r="I5" s="89"/>
      <c r="J5" s="89" t="s">
        <v>42</v>
      </c>
    </row>
    <row r="6" spans="1:10" ht="16.5" thickTop="1" thickBot="1" x14ac:dyDescent="0.3">
      <c r="A6" s="94"/>
      <c r="B6" s="94"/>
      <c r="C6" s="94"/>
      <c r="G6" s="97"/>
    </row>
    <row r="7" spans="1:10" ht="15.75" thickBot="1" x14ac:dyDescent="0.3">
      <c r="A7" s="92" t="s">
        <v>36</v>
      </c>
      <c r="C7" s="87">
        <v>480</v>
      </c>
      <c r="G7" s="4"/>
    </row>
    <row r="8" spans="1:10" ht="16.5" thickTop="1" thickBot="1" x14ac:dyDescent="0.3">
      <c r="A8" s="43" t="s">
        <v>41</v>
      </c>
      <c r="C8" s="87">
        <v>297</v>
      </c>
      <c r="G8" s="4"/>
    </row>
    <row r="9" spans="1:10" ht="16.5" thickTop="1" thickBot="1" x14ac:dyDescent="0.3">
      <c r="A9" s="93" t="s">
        <v>38</v>
      </c>
      <c r="B9" s="94"/>
      <c r="C9" s="95">
        <v>0.625</v>
      </c>
      <c r="G9" s="4"/>
    </row>
    <row r="10" spans="1:10" ht="15.75" thickBot="1" x14ac:dyDescent="0.3">
      <c r="A10" s="92" t="s">
        <v>39</v>
      </c>
      <c r="C10" s="87">
        <v>463</v>
      </c>
      <c r="G10" s="4"/>
    </row>
    <row r="11" spans="1:10" ht="16.5" thickTop="1" thickBot="1" x14ac:dyDescent="0.3">
      <c r="A11" s="43" t="s">
        <v>40</v>
      </c>
      <c r="C11" s="87">
        <v>430</v>
      </c>
      <c r="G11" s="4"/>
    </row>
    <row r="12" spans="1:10" ht="16.5" thickTop="1" thickBot="1" x14ac:dyDescent="0.3">
      <c r="A12" s="93" t="s">
        <v>35</v>
      </c>
      <c r="B12" s="94"/>
      <c r="C12" s="95">
        <v>0.93</v>
      </c>
      <c r="G12" s="4"/>
    </row>
    <row r="13" spans="1:10" ht="15.75" thickBot="1" x14ac:dyDescent="0.3">
      <c r="A13" s="92" t="s">
        <v>45</v>
      </c>
      <c r="C13" s="87">
        <v>1.44</v>
      </c>
      <c r="E13" s="99"/>
      <c r="G13" s="4"/>
    </row>
    <row r="14" spans="1:10" ht="16.5" thickTop="1" thickBot="1" x14ac:dyDescent="0.3">
      <c r="A14" s="93" t="s">
        <v>34</v>
      </c>
      <c r="B14" s="94"/>
      <c r="C14" s="95">
        <v>0.89</v>
      </c>
      <c r="G14" s="4"/>
    </row>
    <row r="15" spans="1:10" x14ac:dyDescent="0.25">
      <c r="E15" s="81">
        <v>0.51729999999999998</v>
      </c>
      <c r="G15" s="90">
        <v>-0.02</v>
      </c>
      <c r="H15" s="91"/>
      <c r="I15" s="91"/>
      <c r="J15" s="90" t="str">
        <f>"+34%"</f>
        <v>+34%</v>
      </c>
    </row>
    <row r="17" spans="1:10" ht="15.75" thickBot="1" x14ac:dyDescent="0.3">
      <c r="A17" s="98" t="s">
        <v>47</v>
      </c>
    </row>
    <row r="18" spans="1:10" ht="16.5" thickTop="1" thickBot="1" x14ac:dyDescent="0.3">
      <c r="A18" s="43" t="s">
        <v>31</v>
      </c>
      <c r="C18" s="43" t="s">
        <v>33</v>
      </c>
      <c r="E18" s="80" t="s">
        <v>32</v>
      </c>
      <c r="G18" s="89" t="s">
        <v>43</v>
      </c>
      <c r="H18" s="89"/>
      <c r="I18" s="89"/>
      <c r="J18" s="89" t="s">
        <v>42</v>
      </c>
    </row>
    <row r="19" spans="1:10" ht="16.5" thickTop="1" thickBot="1" x14ac:dyDescent="0.3">
      <c r="A19" s="94"/>
      <c r="B19" s="94"/>
      <c r="C19" s="94"/>
      <c r="G19" s="97"/>
    </row>
    <row r="20" spans="1:10" ht="15.75" thickBot="1" x14ac:dyDescent="0.3">
      <c r="A20" s="92" t="s">
        <v>36</v>
      </c>
      <c r="C20" s="87">
        <v>480</v>
      </c>
      <c r="G20" s="4"/>
    </row>
    <row r="21" spans="1:10" ht="16.5" thickTop="1" thickBot="1" x14ac:dyDescent="0.3">
      <c r="A21" s="43" t="s">
        <v>41</v>
      </c>
      <c r="C21" s="87">
        <v>282</v>
      </c>
      <c r="G21" s="4"/>
    </row>
    <row r="22" spans="1:10" ht="16.5" thickTop="1" thickBot="1" x14ac:dyDescent="0.3">
      <c r="A22" s="93" t="s">
        <v>38</v>
      </c>
      <c r="B22" s="94"/>
      <c r="C22" s="95">
        <v>0.58750000000000002</v>
      </c>
      <c r="G22" s="4"/>
    </row>
    <row r="23" spans="1:10" ht="15.75" thickBot="1" x14ac:dyDescent="0.3">
      <c r="A23" s="92" t="s">
        <v>39</v>
      </c>
      <c r="C23" s="87">
        <v>442</v>
      </c>
      <c r="G23" s="4"/>
    </row>
    <row r="24" spans="1:10" ht="16.5" thickTop="1" thickBot="1" x14ac:dyDescent="0.3">
      <c r="A24" s="43" t="s">
        <v>40</v>
      </c>
      <c r="C24" s="87">
        <v>408</v>
      </c>
      <c r="G24" s="4"/>
    </row>
    <row r="25" spans="1:10" ht="16.5" thickTop="1" thickBot="1" x14ac:dyDescent="0.3">
      <c r="A25" s="93" t="s">
        <v>35</v>
      </c>
      <c r="B25" s="94"/>
      <c r="C25" s="95">
        <v>0.92300000000000004</v>
      </c>
      <c r="G25" s="4"/>
    </row>
    <row r="26" spans="1:10" ht="15.75" thickBot="1" x14ac:dyDescent="0.3">
      <c r="A26" s="92" t="s">
        <v>45</v>
      </c>
      <c r="C26" s="87">
        <v>1.44</v>
      </c>
      <c r="G26" s="4"/>
    </row>
    <row r="27" spans="1:10" ht="16.5" thickTop="1" thickBot="1" x14ac:dyDescent="0.3">
      <c r="A27" s="93" t="s">
        <v>34</v>
      </c>
      <c r="B27" s="94"/>
      <c r="C27" s="95">
        <v>0.89</v>
      </c>
      <c r="G27" s="4"/>
    </row>
    <row r="28" spans="1:10" x14ac:dyDescent="0.25">
      <c r="E28" s="81">
        <v>0.47489999999999999</v>
      </c>
      <c r="G28" s="90">
        <v>-0.04</v>
      </c>
      <c r="H28" s="91"/>
      <c r="I28" s="91"/>
      <c r="J28" s="90" t="str">
        <f>"+12%"</f>
        <v>+12%</v>
      </c>
    </row>
    <row r="30" spans="1:10" ht="15.75" thickBot="1" x14ac:dyDescent="0.3">
      <c r="A30" s="98" t="s">
        <v>48</v>
      </c>
    </row>
    <row r="31" spans="1:10" ht="16.5" thickTop="1" thickBot="1" x14ac:dyDescent="0.3">
      <c r="A31" s="43" t="s">
        <v>31</v>
      </c>
      <c r="C31" s="43" t="s">
        <v>33</v>
      </c>
      <c r="E31" s="80" t="s">
        <v>32</v>
      </c>
      <c r="G31" s="89" t="s">
        <v>43</v>
      </c>
      <c r="H31" s="89"/>
      <c r="I31" s="89"/>
      <c r="J31" s="89" t="s">
        <v>42</v>
      </c>
    </row>
    <row r="32" spans="1:10" ht="16.5" thickTop="1" thickBot="1" x14ac:dyDescent="0.3">
      <c r="A32" s="94"/>
      <c r="B32" s="94"/>
      <c r="C32" s="94"/>
      <c r="G32" s="97"/>
    </row>
    <row r="33" spans="1:10" ht="15.75" thickBot="1" x14ac:dyDescent="0.3">
      <c r="A33" s="92" t="s">
        <v>36</v>
      </c>
      <c r="C33" s="87">
        <v>480</v>
      </c>
      <c r="G33" s="4"/>
    </row>
    <row r="34" spans="1:10" ht="16.5" thickTop="1" thickBot="1" x14ac:dyDescent="0.3">
      <c r="A34" s="43" t="s">
        <v>41</v>
      </c>
      <c r="C34" s="87">
        <v>358</v>
      </c>
      <c r="G34" s="4"/>
    </row>
    <row r="35" spans="1:10" ht="16.5" thickTop="1" thickBot="1" x14ac:dyDescent="0.3">
      <c r="A35" s="93" t="s">
        <v>38</v>
      </c>
      <c r="B35" s="94"/>
      <c r="C35" s="95">
        <v>0.74580000000000002</v>
      </c>
      <c r="G35" s="4"/>
    </row>
    <row r="36" spans="1:10" ht="15.75" thickBot="1" x14ac:dyDescent="0.3">
      <c r="A36" s="92" t="s">
        <v>39</v>
      </c>
      <c r="C36" s="87">
        <v>473</v>
      </c>
      <c r="G36" s="4"/>
    </row>
    <row r="37" spans="1:10" ht="16.5" thickTop="1" thickBot="1" x14ac:dyDescent="0.3">
      <c r="A37" s="43" t="s">
        <v>40</v>
      </c>
      <c r="C37" s="87">
        <v>468</v>
      </c>
      <c r="G37" s="4"/>
    </row>
    <row r="38" spans="1:10" ht="16.5" thickTop="1" thickBot="1" x14ac:dyDescent="0.3">
      <c r="A38" s="93" t="s">
        <v>35</v>
      </c>
      <c r="B38" s="94"/>
      <c r="C38" s="95">
        <v>0.98939999999999995</v>
      </c>
      <c r="G38" s="4"/>
    </row>
    <row r="39" spans="1:10" ht="15.75" thickBot="1" x14ac:dyDescent="0.3">
      <c r="A39" s="92" t="s">
        <v>45</v>
      </c>
      <c r="C39" s="87">
        <v>1.3</v>
      </c>
      <c r="G39" s="4"/>
    </row>
    <row r="40" spans="1:10" ht="16.5" thickTop="1" thickBot="1" x14ac:dyDescent="0.3">
      <c r="A40" s="93" t="s">
        <v>34</v>
      </c>
      <c r="B40" s="94"/>
      <c r="C40" s="95">
        <v>0.77</v>
      </c>
      <c r="G40" s="4"/>
    </row>
    <row r="41" spans="1:10" x14ac:dyDescent="0.25">
      <c r="E41" s="81">
        <v>0.55840000000000001</v>
      </c>
      <c r="G41" s="90">
        <v>0.08</v>
      </c>
      <c r="H41" s="91"/>
      <c r="I41" s="91"/>
      <c r="J41" s="90" t="str">
        <f>"+34%"</f>
        <v>+34%</v>
      </c>
    </row>
    <row r="56" spans="1:1" x14ac:dyDescent="0.25">
      <c r="A56" t="s">
        <v>27</v>
      </c>
    </row>
  </sheetData>
  <mergeCells count="3">
    <mergeCell ref="A1:C1"/>
    <mergeCell ref="E1:G1"/>
    <mergeCell ref="E2:G2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11</vt:i4>
      </vt:variant>
    </vt:vector>
  </HeadingPairs>
  <TitlesOfParts>
    <vt:vector size="26" baseType="lpstr">
      <vt:lpstr>Monitoring</vt:lpstr>
      <vt:lpstr>setup</vt:lpstr>
      <vt:lpstr>Daily - CNC-01 </vt:lpstr>
      <vt:lpstr>Daily - CNC-02</vt:lpstr>
      <vt:lpstr>Daily - CNC-03</vt:lpstr>
      <vt:lpstr>Daily - AUTOCLAVE</vt:lpstr>
      <vt:lpstr>Daily - OVEN 101</vt:lpstr>
      <vt:lpstr>Daily - HCN</vt:lpstr>
      <vt:lpstr>Daily - NCT</vt:lpstr>
      <vt:lpstr>Daily - All</vt:lpstr>
      <vt:lpstr>Asset 1 Trend</vt:lpstr>
      <vt:lpstr>Trend - Mazat 1</vt:lpstr>
      <vt:lpstr>Efficiency</vt:lpstr>
      <vt:lpstr>Efficiency - ASSET 1 - Shift 1</vt:lpstr>
      <vt:lpstr>Sheet1</vt:lpstr>
      <vt:lpstr>'Daily - All'!Print_Area</vt:lpstr>
      <vt:lpstr>'Daily - AUTOCLAVE'!Print_Area</vt:lpstr>
      <vt:lpstr>'Daily - CNC-01 '!Print_Area</vt:lpstr>
      <vt:lpstr>'Daily - CNC-02'!Print_Area</vt:lpstr>
      <vt:lpstr>'Daily - CNC-03'!Print_Area</vt:lpstr>
      <vt:lpstr>'Daily - OVEN 101'!Print_Area</vt:lpstr>
      <vt:lpstr>'Daily - AUTOCLAVE'!Print_Titles</vt:lpstr>
      <vt:lpstr>'Daily - CNC-01 '!Print_Titles</vt:lpstr>
      <vt:lpstr>'Daily - CNC-02'!Print_Titles</vt:lpstr>
      <vt:lpstr>'Daily - CNC-03'!Print_Titles</vt:lpstr>
      <vt:lpstr>'Daily - OVEN 101'!Print_Titles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Ahmed Salmi</cp:lastModifiedBy>
  <cp:lastPrinted>2013-09-27T23:24:52Z</cp:lastPrinted>
  <dcterms:created xsi:type="dcterms:W3CDTF">2013-09-26T13:22:10Z</dcterms:created>
  <dcterms:modified xsi:type="dcterms:W3CDTF">2013-10-22T14:35:43Z</dcterms:modified>
</cp:coreProperties>
</file>